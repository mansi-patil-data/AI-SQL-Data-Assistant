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New folder\"/>
    </mc:Choice>
  </mc:AlternateContent>
  <xr:revisionPtr revIDLastSave="0" documentId="13_ncr:1_{216EFE3A-666A-4138-8A83-264DEA544952}" xr6:coauthVersionLast="47" xr6:coauthVersionMax="47" xr10:uidLastSave="{00000000-0000-0000-0000-000000000000}"/>
  <bookViews>
    <workbookView xWindow="-108" yWindow="-108" windowWidth="23256" windowHeight="12456" activeTab="2" xr2:uid="{59351212-5B4B-4E12-AFBF-DCBFD9EB1947}"/>
  </bookViews>
  <sheets>
    <sheet name="Sheet4" sheetId="4" r:id="rId1"/>
    <sheet name="Sheet1" sheetId="1" r:id="rId2"/>
    <sheet name="Sheet5" sheetId="6" r:id="rId3"/>
  </sheets>
  <definedNames>
    <definedName name="Slicer_Category">#N/A</definedName>
    <definedName name="Slicer_City">#N/A</definedName>
    <definedName name="Slicer_Gender">#N/A</definedName>
    <definedName name="Slicer_Payment_Mode">#N/A</definedName>
    <definedName name="Slicer_Product">#N/A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4" l="1"/>
  <c r="M4" i="1"/>
  <c r="G11" i="4"/>
  <c r="F11" i="4"/>
  <c r="E11" i="4"/>
  <c r="O2" i="1"/>
  <c r="N2" i="1"/>
  <c r="M2" i="1"/>
  <c r="K3" i="1"/>
  <c r="K4" i="1"/>
  <c r="K5" i="1"/>
  <c r="K6" i="1"/>
  <c r="K7" i="1"/>
  <c r="K8" i="1"/>
  <c r="K9" i="1"/>
  <c r="K10" i="1"/>
  <c r="K11" i="1"/>
  <c r="K12" i="1"/>
  <c r="K13" i="1"/>
  <c r="K14" i="1"/>
  <c r="K15" i="1"/>
  <c r="K16" i="1"/>
  <c r="K17" i="1"/>
  <c r="K18" i="1"/>
  <c r="K19" i="1"/>
  <c r="K20" i="1"/>
  <c r="K21" i="1"/>
  <c r="K22" i="1"/>
  <c r="K23" i="1"/>
  <c r="K24" i="1"/>
  <c r="K25" i="1"/>
  <c r="K26" i="1"/>
  <c r="K2" i="1"/>
</calcChain>
</file>

<file path=xl/sharedStrings.xml><?xml version="1.0" encoding="utf-8"?>
<sst xmlns="http://schemas.openxmlformats.org/spreadsheetml/2006/main" count="225" uniqueCount="104">
  <si>
    <t>Customer_ID</t>
  </si>
  <si>
    <t>Customer_Name</t>
  </si>
  <si>
    <t>Age</t>
  </si>
  <si>
    <t>Gender</t>
  </si>
  <si>
    <t>City</t>
  </si>
  <si>
    <t>Product</t>
  </si>
  <si>
    <t>Category</t>
  </si>
  <si>
    <t>Quantity</t>
  </si>
  <si>
    <t>Price</t>
  </si>
  <si>
    <t>Payment_Mode</t>
  </si>
  <si>
    <t>C001</t>
  </si>
  <si>
    <t>Rahul</t>
  </si>
  <si>
    <t>Male</t>
  </si>
  <si>
    <t>Pune</t>
  </si>
  <si>
    <t>Laptop Bag</t>
  </si>
  <si>
    <t>Accessories</t>
  </si>
  <si>
    <t>UPI</t>
  </si>
  <si>
    <t>C002</t>
  </si>
  <si>
    <t>Priya</t>
  </si>
  <si>
    <t>Female</t>
  </si>
  <si>
    <t>Mumbai</t>
  </si>
  <si>
    <t>Headphones</t>
  </si>
  <si>
    <t>Electronics</t>
  </si>
  <si>
    <t>Card</t>
  </si>
  <si>
    <t>C003</t>
  </si>
  <si>
    <t>Amit</t>
  </si>
  <si>
    <t>T-Shirt</t>
  </si>
  <si>
    <t>Clothing</t>
  </si>
  <si>
    <t>Cash</t>
  </si>
  <si>
    <t>C004</t>
  </si>
  <si>
    <t>Sneha</t>
  </si>
  <si>
    <t>Nashik</t>
  </si>
  <si>
    <t>Shoes</t>
  </si>
  <si>
    <t>Footwear</t>
  </si>
  <si>
    <t>C005</t>
  </si>
  <si>
    <t>Rohit</t>
  </si>
  <si>
    <t>Sangli</t>
  </si>
  <si>
    <t>Watch</t>
  </si>
  <si>
    <t>C006</t>
  </si>
  <si>
    <t>Neha</t>
  </si>
  <si>
    <t>Jeans</t>
  </si>
  <si>
    <t>C007</t>
  </si>
  <si>
    <t>Akash</t>
  </si>
  <si>
    <t>Kolhapur</t>
  </si>
  <si>
    <t>Keyboard</t>
  </si>
  <si>
    <t>C008</t>
  </si>
  <si>
    <t>Pooja</t>
  </si>
  <si>
    <t>Handbag</t>
  </si>
  <si>
    <t>C009</t>
  </si>
  <si>
    <t>Sagar</t>
  </si>
  <si>
    <t>C010</t>
  </si>
  <si>
    <t>Riya</t>
  </si>
  <si>
    <t>C011</t>
  </si>
  <si>
    <t>Karan</t>
  </si>
  <si>
    <t>Mouse</t>
  </si>
  <si>
    <t>C012</t>
  </si>
  <si>
    <t>Anjali</t>
  </si>
  <si>
    <t>Kurti</t>
  </si>
  <si>
    <t>C013</t>
  </si>
  <si>
    <t>Vivek</t>
  </si>
  <si>
    <t>Backpack</t>
  </si>
  <si>
    <t>C014</t>
  </si>
  <si>
    <t>Meena</t>
  </si>
  <si>
    <t>Sandals</t>
  </si>
  <si>
    <t>C015</t>
  </si>
  <si>
    <t>Nikhil</t>
  </si>
  <si>
    <t>Earphones</t>
  </si>
  <si>
    <t>C016</t>
  </si>
  <si>
    <t>Kavita</t>
  </si>
  <si>
    <t>Saree</t>
  </si>
  <si>
    <t>C017</t>
  </si>
  <si>
    <t>Sameer</t>
  </si>
  <si>
    <t>Wallet</t>
  </si>
  <si>
    <t>C018</t>
  </si>
  <si>
    <t>Aarti</t>
  </si>
  <si>
    <t>C019</t>
  </si>
  <si>
    <t>Manish</t>
  </si>
  <si>
    <t>Shirt</t>
  </si>
  <si>
    <t>C020</t>
  </si>
  <si>
    <t>Shweta</t>
  </si>
  <si>
    <t>Smartwatch</t>
  </si>
  <si>
    <t>C021</t>
  </si>
  <si>
    <t>Tejas</t>
  </si>
  <si>
    <t>C022</t>
  </si>
  <si>
    <t>Komal</t>
  </si>
  <si>
    <t>C023</t>
  </si>
  <si>
    <t>Prasad</t>
  </si>
  <si>
    <t>C024</t>
  </si>
  <si>
    <t>Swati</t>
  </si>
  <si>
    <t>C025</t>
  </si>
  <si>
    <t>Ganesh</t>
  </si>
  <si>
    <t>Row Labels</t>
  </si>
  <si>
    <t>Grand Total</t>
  </si>
  <si>
    <t>Count of Product</t>
  </si>
  <si>
    <t>sum price</t>
  </si>
  <si>
    <t>Sum of sum price</t>
  </si>
  <si>
    <t>category-wise analysis</t>
  </si>
  <si>
    <t>city-wise analysis</t>
  </si>
  <si>
    <t>gender-wise analysis</t>
  </si>
  <si>
    <t>payment-mode</t>
  </si>
  <si>
    <t>min</t>
  </si>
  <si>
    <t>max</t>
  </si>
  <si>
    <t>average</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</si>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</sst>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xf numFmtId="0" fontId="1" fillId="2" borderId="0" xfId="0" applyFont="1" applyFill="1"/>
  </cellXfs>
  <cellStyles count="1">
    <cellStyle name="Normal" xfId="0" builtinId="0"/>
  </cellStyles>
  <dxfs count="0"/>
  <tableStyles count="0" defaultTableStyle="TableStyleMedium2" defaultPivotStyle="PivotStyleLight16"/>
  <colors>
    <mruColors>
      <color rgb="FFA643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[demo data 3.xlsx]Sheet4!PivotTable8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Category-wise</a:t>
            </a:r>
            <a:r>
              <a:rPr lang="en-IN" baseline="0">
                <a:solidFill>
                  <a:schemeClr val="bg1"/>
                </a:solidFill>
              </a:rPr>
              <a:t> analysis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Sheet4!$B$11</c:f>
              <c:strCache>
                <c:ptCount val="1"/>
                <c:pt idx="0">
                  <c:v>Sum of sum price</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Sheet4!$A$12:$A$16</c:f>
              <c:strCache>
                <c:ptCount val="4"/>
                <c:pt idx="0">
                  <c:v>Accessories</c:v>
                </c:pt>
                <c:pt idx="1">
                  <c:v>Clothing</c:v>
                </c:pt>
                <c:pt idx="2">
                  <c:v>Electronics</c:v>
                </c:pt>
                <c:pt idx="3">
                  <c:v>Footwear</c:v>
                </c:pt>
              </c:strCache>
            </c:strRef>
          </c:cat>
          <c:val>
            <c:numRef>
              <c:f>Sheet4!$B$12:$B$16</c:f>
              <c:numCache>
                <c:formatCode>General</c:formatCode>
                <c:ptCount val="4"/>
                <c:pt idx="0">
                  <c:v>11700</c:v>
                </c:pt>
                <c:pt idx="1">
                  <c:v>14800</c:v>
                </c:pt>
                <c:pt idx="2">
                  <c:v>11800</c:v>
                </c:pt>
                <c:pt idx="3">
                  <c:v>11100</c:v>
                </c:pt>
              </c:numCache>
            </c:numRef>
          </c:val>
          <c:extLst>
            <c:ext xmlns:c16="http://schemas.microsoft.com/office/drawing/2014/chart" uri="{C3380CC4-5D6E-409C-BE32-E72D297353CC}">
              <c16:uniqueId val="{00000000-6D6D-4D03-B4AA-D865AAF8FD02}"/>
            </c:ext>
          </c:extLst>
        </c:ser>
        <c:ser>
          <c:idx val="1"/>
          <c:order val="1"/>
          <c:tx>
            <c:strRef>
              <c:f>Sheet4!$C$11</c:f>
              <c:strCache>
                <c:ptCount val="1"/>
                <c:pt idx="0">
                  <c:v>Count of Product</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Sheet4!$A$12:$A$16</c:f>
              <c:strCache>
                <c:ptCount val="4"/>
                <c:pt idx="0">
                  <c:v>Accessories</c:v>
                </c:pt>
                <c:pt idx="1">
                  <c:v>Clothing</c:v>
                </c:pt>
                <c:pt idx="2">
                  <c:v>Electronics</c:v>
                </c:pt>
                <c:pt idx="3">
                  <c:v>Footwear</c:v>
                </c:pt>
              </c:strCache>
            </c:strRef>
          </c:cat>
          <c:val>
            <c:numRef>
              <c:f>Sheet4!$C$12:$C$16</c:f>
              <c:numCache>
                <c:formatCode>General</c:formatCode>
                <c:ptCount val="4"/>
                <c:pt idx="0">
                  <c:v>7</c:v>
                </c:pt>
                <c:pt idx="1">
                  <c:v>8</c:v>
                </c:pt>
                <c:pt idx="2">
                  <c:v>6</c:v>
                </c:pt>
                <c:pt idx="3">
                  <c:v>4</c:v>
                </c:pt>
              </c:numCache>
            </c:numRef>
          </c:val>
          <c:extLst>
            <c:ext xmlns:c16="http://schemas.microsoft.com/office/drawing/2014/chart" uri="{C3380CC4-5D6E-409C-BE32-E72D297353CC}">
              <c16:uniqueId val="{00000001-6D6D-4D03-B4AA-D865AAF8FD02}"/>
            </c:ext>
          </c:extLst>
        </c:ser>
        <c:dLbls>
          <c:dLblPos val="ctr"/>
          <c:showLegendKey val="0"/>
          <c:showVal val="1"/>
          <c:showCatName val="0"/>
          <c:showSerName val="0"/>
          <c:showPercent val="0"/>
          <c:showBubbleSize val="0"/>
        </c:dLbls>
        <c:gapWidth val="150"/>
        <c:overlap val="100"/>
        <c:axId val="152345391"/>
        <c:axId val="2098085839"/>
      </c:barChart>
      <c:catAx>
        <c:axId val="152345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8085839"/>
        <c:crosses val="autoZero"/>
        <c:auto val="1"/>
        <c:lblAlgn val="ctr"/>
        <c:lblOffset val="100"/>
        <c:noMultiLvlLbl val="0"/>
      </c:catAx>
      <c:valAx>
        <c:axId val="2098085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23453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data 3.xlsx]Sheet4!PivotTable9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city-wise</a:t>
            </a:r>
            <a:r>
              <a:rPr lang="en-IN"/>
              <a:t> </a:t>
            </a:r>
            <a:r>
              <a:rPr lang="en-IN">
                <a:solidFill>
                  <a:schemeClr val="bg1"/>
                </a:solidFill>
              </a:rPr>
              <a:t>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Sheet4!$A$20:$A$25</c:f>
              <c:strCache>
                <c:ptCount val="5"/>
                <c:pt idx="0">
                  <c:v>Kolhapur</c:v>
                </c:pt>
                <c:pt idx="1">
                  <c:v>Mumbai</c:v>
                </c:pt>
                <c:pt idx="2">
                  <c:v>Nashik</c:v>
                </c:pt>
                <c:pt idx="3">
                  <c:v>Pune</c:v>
                </c:pt>
                <c:pt idx="4">
                  <c:v>Sangli</c:v>
                </c:pt>
              </c:strCache>
            </c:strRef>
          </c:cat>
          <c:val>
            <c:numRef>
              <c:f>Sheet4!$B$20:$B$25</c:f>
              <c:numCache>
                <c:formatCode>General</c:formatCode>
                <c:ptCount val="5"/>
                <c:pt idx="0">
                  <c:v>5200</c:v>
                </c:pt>
                <c:pt idx="1">
                  <c:v>10100</c:v>
                </c:pt>
                <c:pt idx="2">
                  <c:v>6200</c:v>
                </c:pt>
                <c:pt idx="3">
                  <c:v>21500</c:v>
                </c:pt>
                <c:pt idx="4">
                  <c:v>6400</c:v>
                </c:pt>
              </c:numCache>
            </c:numRef>
          </c:val>
          <c:extLst>
            <c:ext xmlns:c16="http://schemas.microsoft.com/office/drawing/2014/chart" uri="{C3380CC4-5D6E-409C-BE32-E72D297353CC}">
              <c16:uniqueId val="{00000000-8DD3-42FF-9B22-313900A6576B}"/>
            </c:ext>
          </c:extLst>
        </c:ser>
        <c:dLbls>
          <c:dLblPos val="inEnd"/>
          <c:showLegendKey val="0"/>
          <c:showVal val="1"/>
          <c:showCatName val="0"/>
          <c:showSerName val="0"/>
          <c:showPercent val="0"/>
          <c:showBubbleSize val="0"/>
        </c:dLbls>
        <c:gapWidth val="65"/>
        <c:axId val="215482159"/>
        <c:axId val="2098133359"/>
      </c:barChart>
      <c:catAx>
        <c:axId val="215482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8133359"/>
        <c:crosses val="autoZero"/>
        <c:auto val="1"/>
        <c:lblAlgn val="ctr"/>
        <c:lblOffset val="100"/>
        <c:noMultiLvlLbl val="0"/>
      </c:catAx>
      <c:valAx>
        <c:axId val="2098133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5482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data 3.xlsx]Sheet4!PivotTable10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gender-wise</a:t>
            </a:r>
            <a:r>
              <a:rPr lang="en-US" baseline="0">
                <a:solidFill>
                  <a:schemeClr val="bg1"/>
                </a:solidFill>
              </a:rPr>
              <a:t> analysis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Sheet4!$A$29:$A$31</c:f>
              <c:strCache>
                <c:ptCount val="2"/>
                <c:pt idx="0">
                  <c:v>Female</c:v>
                </c:pt>
                <c:pt idx="1">
                  <c:v>Male</c:v>
                </c:pt>
              </c:strCache>
            </c:strRef>
          </c:cat>
          <c:val>
            <c:numRef>
              <c:f>Sheet4!$B$29:$B$31</c:f>
              <c:numCache>
                <c:formatCode>General</c:formatCode>
                <c:ptCount val="2"/>
                <c:pt idx="0">
                  <c:v>26200</c:v>
                </c:pt>
                <c:pt idx="1">
                  <c:v>23200</c:v>
                </c:pt>
              </c:numCache>
            </c:numRef>
          </c:val>
          <c:extLst>
            <c:ext xmlns:c16="http://schemas.microsoft.com/office/drawing/2014/chart" uri="{C3380CC4-5D6E-409C-BE32-E72D297353CC}">
              <c16:uniqueId val="{00000000-6200-463C-82B0-CF9E772ED22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data 3.xlsx]Sheet4!PivotTable11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payment-wise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Sheet4!$E$27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Sheet4!$D$28:$D$31</c:f>
              <c:strCache>
                <c:ptCount val="3"/>
                <c:pt idx="0">
                  <c:v>Card</c:v>
                </c:pt>
                <c:pt idx="1">
                  <c:v>Cash</c:v>
                </c:pt>
                <c:pt idx="2">
                  <c:v>UPI</c:v>
                </c:pt>
              </c:strCache>
            </c:strRef>
          </c:cat>
          <c:val>
            <c:numRef>
              <c:f>Sheet4!$E$28:$E$31</c:f>
              <c:numCache>
                <c:formatCode>General</c:formatCode>
                <c:ptCount val="3"/>
                <c:pt idx="0">
                  <c:v>16300</c:v>
                </c:pt>
                <c:pt idx="1">
                  <c:v>9800</c:v>
                </c:pt>
                <c:pt idx="2">
                  <c:v>23300</c:v>
                </c:pt>
              </c:numCache>
            </c:numRef>
          </c:val>
          <c:extLst>
            <c:ext xmlns:c16="http://schemas.microsoft.com/office/drawing/2014/chart" uri="{C3380CC4-5D6E-409C-BE32-E72D297353CC}">
              <c16:uniqueId val="{00000000-B31B-4A75-9CBA-9ADE98F4C9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[demo data 3.xlsx]Sheet4!PivotTable8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Category-wise</a:t>
            </a:r>
            <a:r>
              <a:rPr lang="en-IN" baseline="0">
                <a:solidFill>
                  <a:schemeClr val="bg1"/>
                </a:solidFill>
              </a:rPr>
              <a:t> analysis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Sheet4!$B$11</c:f>
              <c:strCache>
                <c:ptCount val="1"/>
                <c:pt idx="0">
                  <c:v>Sum of sum price</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Sheet4!$A$12:$A$16</c:f>
              <c:strCache>
                <c:ptCount val="4"/>
                <c:pt idx="0">
                  <c:v>Accessories</c:v>
                </c:pt>
                <c:pt idx="1">
                  <c:v>Clothing</c:v>
                </c:pt>
                <c:pt idx="2">
                  <c:v>Electronics</c:v>
                </c:pt>
                <c:pt idx="3">
                  <c:v>Footwear</c:v>
                </c:pt>
              </c:strCache>
            </c:strRef>
          </c:cat>
          <c:val>
            <c:numRef>
              <c:f>Sheet4!$B$12:$B$16</c:f>
              <c:numCache>
                <c:formatCode>General</c:formatCode>
                <c:ptCount val="4"/>
                <c:pt idx="0">
                  <c:v>11700</c:v>
                </c:pt>
                <c:pt idx="1">
                  <c:v>14800</c:v>
                </c:pt>
                <c:pt idx="2">
                  <c:v>11800</c:v>
                </c:pt>
                <c:pt idx="3">
                  <c:v>11100</c:v>
                </c:pt>
              </c:numCache>
            </c:numRef>
          </c:val>
          <c:extLst>
            <c:ext xmlns:c16="http://schemas.microsoft.com/office/drawing/2014/chart" uri="{C3380CC4-5D6E-409C-BE32-E72D297353CC}">
              <c16:uniqueId val="{00000000-B623-4737-8609-2FE60C54BE72}"/>
            </c:ext>
          </c:extLst>
        </c:ser>
        <c:ser>
          <c:idx val="1"/>
          <c:order val="1"/>
          <c:tx>
            <c:strRef>
              <c:f>Sheet4!$C$11</c:f>
              <c:strCache>
                <c:ptCount val="1"/>
                <c:pt idx="0">
                  <c:v>Count of Product</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Sheet4!$A$12:$A$16</c:f>
              <c:strCache>
                <c:ptCount val="4"/>
                <c:pt idx="0">
                  <c:v>Accessories</c:v>
                </c:pt>
                <c:pt idx="1">
                  <c:v>Clothing</c:v>
                </c:pt>
                <c:pt idx="2">
                  <c:v>Electronics</c:v>
                </c:pt>
                <c:pt idx="3">
                  <c:v>Footwear</c:v>
                </c:pt>
              </c:strCache>
            </c:strRef>
          </c:cat>
          <c:val>
            <c:numRef>
              <c:f>Sheet4!$C$12:$C$16</c:f>
              <c:numCache>
                <c:formatCode>General</c:formatCode>
                <c:ptCount val="4"/>
                <c:pt idx="0">
                  <c:v>7</c:v>
                </c:pt>
                <c:pt idx="1">
                  <c:v>8</c:v>
                </c:pt>
                <c:pt idx="2">
                  <c:v>6</c:v>
                </c:pt>
                <c:pt idx="3">
                  <c:v>4</c:v>
                </c:pt>
              </c:numCache>
            </c:numRef>
          </c:val>
          <c:extLst>
            <c:ext xmlns:c16="http://schemas.microsoft.com/office/drawing/2014/chart" uri="{C3380CC4-5D6E-409C-BE32-E72D297353CC}">
              <c16:uniqueId val="{00000001-B623-4737-8609-2FE60C54BE72}"/>
            </c:ext>
          </c:extLst>
        </c:ser>
        <c:dLbls>
          <c:dLblPos val="ctr"/>
          <c:showLegendKey val="0"/>
          <c:showVal val="1"/>
          <c:showCatName val="0"/>
          <c:showSerName val="0"/>
          <c:showPercent val="0"/>
          <c:showBubbleSize val="0"/>
        </c:dLbls>
        <c:gapWidth val="150"/>
        <c:overlap val="100"/>
        <c:axId val="152345391"/>
        <c:axId val="2098085839"/>
      </c:barChart>
      <c:catAx>
        <c:axId val="152345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8085839"/>
        <c:crosses val="autoZero"/>
        <c:auto val="1"/>
        <c:lblAlgn val="ctr"/>
        <c:lblOffset val="100"/>
        <c:noMultiLvlLbl val="0"/>
      </c:catAx>
      <c:valAx>
        <c:axId val="2098085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23453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data 3.xlsx]Sheet4!PivotTable9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city-wise</a:t>
            </a:r>
            <a:r>
              <a:rPr lang="en-IN"/>
              <a:t> </a:t>
            </a:r>
            <a:r>
              <a:rPr lang="en-IN">
                <a:solidFill>
                  <a:schemeClr val="bg1"/>
                </a:solidFill>
              </a:rPr>
              <a:t>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Sheet4!$A$20:$A$25</c:f>
              <c:strCache>
                <c:ptCount val="5"/>
                <c:pt idx="0">
                  <c:v>Kolhapur</c:v>
                </c:pt>
                <c:pt idx="1">
                  <c:v>Mumbai</c:v>
                </c:pt>
                <c:pt idx="2">
                  <c:v>Nashik</c:v>
                </c:pt>
                <c:pt idx="3">
                  <c:v>Pune</c:v>
                </c:pt>
                <c:pt idx="4">
                  <c:v>Sangli</c:v>
                </c:pt>
              </c:strCache>
            </c:strRef>
          </c:cat>
          <c:val>
            <c:numRef>
              <c:f>Sheet4!$B$20:$B$25</c:f>
              <c:numCache>
                <c:formatCode>General</c:formatCode>
                <c:ptCount val="5"/>
                <c:pt idx="0">
                  <c:v>5200</c:v>
                </c:pt>
                <c:pt idx="1">
                  <c:v>10100</c:v>
                </c:pt>
                <c:pt idx="2">
                  <c:v>6200</c:v>
                </c:pt>
                <c:pt idx="3">
                  <c:v>21500</c:v>
                </c:pt>
                <c:pt idx="4">
                  <c:v>6400</c:v>
                </c:pt>
              </c:numCache>
            </c:numRef>
          </c:val>
          <c:extLst>
            <c:ext xmlns:c16="http://schemas.microsoft.com/office/drawing/2014/chart" uri="{C3380CC4-5D6E-409C-BE32-E72D297353CC}">
              <c16:uniqueId val="{00000000-490C-4882-B94B-057129B4872E}"/>
            </c:ext>
          </c:extLst>
        </c:ser>
        <c:dLbls>
          <c:dLblPos val="inEnd"/>
          <c:showLegendKey val="0"/>
          <c:showVal val="1"/>
          <c:showCatName val="0"/>
          <c:showSerName val="0"/>
          <c:showPercent val="0"/>
          <c:showBubbleSize val="0"/>
        </c:dLbls>
        <c:gapWidth val="65"/>
        <c:axId val="215482159"/>
        <c:axId val="2098133359"/>
      </c:barChart>
      <c:catAx>
        <c:axId val="215482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8133359"/>
        <c:crosses val="autoZero"/>
        <c:auto val="1"/>
        <c:lblAlgn val="ctr"/>
        <c:lblOffset val="100"/>
        <c:noMultiLvlLbl val="0"/>
      </c:catAx>
      <c:valAx>
        <c:axId val="2098133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5482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data 3.xlsx]Sheet4!PivotTable11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payment-wise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Sheet4!$E$27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362-4890-944B-B7E4981453A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362-4890-944B-B7E4981453A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362-4890-944B-B7E4981453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Sheet4!$D$28:$D$31</c:f>
              <c:strCache>
                <c:ptCount val="3"/>
                <c:pt idx="0">
                  <c:v>Card</c:v>
                </c:pt>
                <c:pt idx="1">
                  <c:v>Cash</c:v>
                </c:pt>
                <c:pt idx="2">
                  <c:v>UPI</c:v>
                </c:pt>
              </c:strCache>
            </c:strRef>
          </c:cat>
          <c:val>
            <c:numRef>
              <c:f>Sheet4!$E$28:$E$31</c:f>
              <c:numCache>
                <c:formatCode>General</c:formatCode>
                <c:ptCount val="3"/>
                <c:pt idx="0">
                  <c:v>16300</c:v>
                </c:pt>
                <c:pt idx="1">
                  <c:v>9800</c:v>
                </c:pt>
                <c:pt idx="2">
                  <c:v>23300</c:v>
                </c:pt>
              </c:numCache>
            </c:numRef>
          </c:val>
          <c:extLst>
            <c:ext xmlns:c16="http://schemas.microsoft.com/office/drawing/2014/chart" uri="{C3380CC4-5D6E-409C-BE32-E72D297353CC}">
              <c16:uniqueId val="{00000006-6362-4890-944B-B7E4981453A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335697399527187"/>
          <c:y val="0.53825960912452242"/>
          <c:w val="0.28664302600472813"/>
          <c:h val="0.3388189385843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 data 3.xlsx]Sheet4!PivotTable10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gender-wise</a:t>
            </a:r>
            <a:r>
              <a:rPr lang="en-US" baseline="0">
                <a:solidFill>
                  <a:schemeClr val="bg1"/>
                </a:solidFill>
              </a:rPr>
              <a:t> analysis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428-4480-B34E-6C4B17D21C4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428-4480-B34E-6C4B17D21C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Sheet4!$A$29:$A$31</c:f>
              <c:strCache>
                <c:ptCount val="2"/>
                <c:pt idx="0">
                  <c:v>Female</c:v>
                </c:pt>
                <c:pt idx="1">
                  <c:v>Male</c:v>
                </c:pt>
              </c:strCache>
            </c:strRef>
          </c:cat>
          <c:val>
            <c:numRef>
              <c:f>Sheet4!$B$29:$B$31</c:f>
              <c:numCache>
                <c:formatCode>General</c:formatCode>
                <c:ptCount val="2"/>
                <c:pt idx="0">
                  <c:v>26200</c:v>
                </c:pt>
                <c:pt idx="1">
                  <c:v>23200</c:v>
                </c:pt>
              </c:numCache>
            </c:numRef>
          </c:val>
          <c:extLst>
            <c:ext xmlns:c16="http://schemas.microsoft.com/office/drawing/2014/chart" uri="{C3380CC4-5D6E-409C-BE32-E72D297353CC}">
              <c16:uniqueId val="{00000004-D428-4480-B34E-6C4B17D21C4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30480</xdr:colOff>
      <xdr:row>11</xdr:row>
      <xdr:rowOff>30481</xdr:rowOff>
    </xdr:from>
    <xdr:to>
      <xdr:col>11</xdr:col>
      <xdr:colOff>167640</xdr:colOff>
      <xdr:row>16</xdr:row>
      <xdr:rowOff>60961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4EAD1FF8-84E2-F9C4-BEA9-FDA10A74E6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316980" y="204216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2</xdr:row>
      <xdr:rowOff>60961</xdr:rowOff>
    </xdr:from>
    <xdr:to>
      <xdr:col>11</xdr:col>
      <xdr:colOff>152400</xdr:colOff>
      <xdr:row>8</xdr:row>
      <xdr:rowOff>137160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19453F9F-2134-508E-E28C-F396BAFE1BD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301740" y="42672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2</xdr:row>
      <xdr:rowOff>68581</xdr:rowOff>
    </xdr:from>
    <xdr:to>
      <xdr:col>15</xdr:col>
      <xdr:colOff>182880</xdr:colOff>
      <xdr:row>10</xdr:row>
      <xdr:rowOff>7621</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A29EB27E-199F-7A1B-77F7-490352E0EC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29600" y="43434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350520</xdr:colOff>
      <xdr:row>2</xdr:row>
      <xdr:rowOff>83821</xdr:rowOff>
    </xdr:from>
    <xdr:to>
      <xdr:col>19</xdr:col>
      <xdr:colOff>114300</xdr:colOff>
      <xdr:row>10</xdr:row>
      <xdr:rowOff>22861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76F822CE-27C7-6240-116A-F1E2D64596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26040" y="44958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2</xdr:row>
      <xdr:rowOff>83821</xdr:rowOff>
    </xdr:from>
    <xdr:to>
      <xdr:col>22</xdr:col>
      <xdr:colOff>228600</xdr:colOff>
      <xdr:row>8</xdr:row>
      <xdr:rowOff>129541</xdr:rowOff>
    </xdr:to>
    <mc:AlternateContent xmlns:mc="http://schemas.openxmlformats.org/markup-compatibility/2006">
      <mc:Choice xmlns:a14="http://schemas.microsoft.com/office/drawing/2010/main" Requires="a14">
        <xdr:graphicFrame macro="">
          <xdr:nvGraphicFramePr>
            <xdr:cNvPr id="6" name="Payment_Mode">
              <a:extLst>
                <a:ext uri="{FF2B5EF4-FFF2-40B4-BE49-F238E27FC236}">
                  <a16:creationId xmlns:a16="http://schemas.microsoft.com/office/drawing/2014/main" id="{20078B6B-FF2A-F1C8-8A21-211D811A1D88}"/>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2169140" y="44958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266700</xdr:colOff>
      <xdr:row>18</xdr:row>
      <xdr:rowOff>0</xdr:rowOff>
    </xdr:from>
    <xdr:to>
      <xdr:col>14</xdr:col>
      <xdr:colOff>167640</xdr:colOff>
      <xdr:row>31</xdr:row>
      <xdr:rowOff>148590</xdr:rowOff>
    </xdr:to>
    <xdr:graphicFrame macro="">
      <xdr:nvGraphicFramePr>
        <xdr:cNvPr id="7" name="Chart 6">
          <a:extLst>
            <a:ext uri="{FF2B5EF4-FFF2-40B4-BE49-F238E27FC236}">
              <a16:creationId xmlns:a16="http://schemas.microsoft.com/office/drawing/2014/main" id="{270F3464-80C7-3A78-6C68-9A230CCFF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510540</xdr:colOff>
      <xdr:row>17</xdr:row>
      <xdr:rowOff>171450</xdr:rowOff>
    </xdr:from>
    <xdr:to>
      <xdr:col>21</xdr:col>
      <xdr:colOff>266700</xdr:colOff>
      <xdr:row>31</xdr:row>
      <xdr:rowOff>144780</xdr:rowOff>
    </xdr:to>
    <xdr:graphicFrame macro="">
      <xdr:nvGraphicFramePr>
        <xdr:cNvPr id="8" name="Chart 7">
          <a:extLst>
            <a:ext uri="{FF2B5EF4-FFF2-40B4-BE49-F238E27FC236}">
              <a16:creationId xmlns:a16="http://schemas.microsoft.com/office/drawing/2014/main" id="{ED923959-5508-CE39-A5AA-C08A6F291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259080</xdr:colOff>
      <xdr:row>32</xdr:row>
      <xdr:rowOff>83820</xdr:rowOff>
    </xdr:from>
    <xdr:to>
      <xdr:col>13</xdr:col>
      <xdr:colOff>327660</xdr:colOff>
      <xdr:row>45</xdr:row>
      <xdr:rowOff>57150</xdr:rowOff>
    </xdr:to>
    <xdr:graphicFrame macro="">
      <xdr:nvGraphicFramePr>
        <xdr:cNvPr id="9" name="Chart 8">
          <a:extLst>
            <a:ext uri="{FF2B5EF4-FFF2-40B4-BE49-F238E27FC236}">
              <a16:creationId xmlns:a16="http://schemas.microsoft.com/office/drawing/2014/main" id="{D29CC99A-BC02-8C99-42BA-DE51F4180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662940</xdr:colOff>
      <xdr:row>32</xdr:row>
      <xdr:rowOff>118110</xdr:rowOff>
    </xdr:from>
    <xdr:to>
      <xdr:col>20</xdr:col>
      <xdr:colOff>449580</xdr:colOff>
      <xdr:row>46</xdr:row>
      <xdr:rowOff>0</xdr:rowOff>
    </xdr:to>
    <xdr:graphicFrame macro="">
      <xdr:nvGraphicFramePr>
        <xdr:cNvPr id="10" name="Chart 9">
          <a:extLst>
            <a:ext uri="{FF2B5EF4-FFF2-40B4-BE49-F238E27FC236}">
              <a16:creationId xmlns:a16="http://schemas.microsoft.com/office/drawing/2014/main" id="{45720FEB-E978-843C-D659-3E8E195A0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484800</xdr:colOff>
      <xdr:row>36</xdr:row>
      <xdr:rowOff>7620</xdr:rowOff>
    </xdr:to>
    <xdr:sp macro="" textlink="">
      <xdr:nvSpPr>
        <xdr:cNvPr id="2" name="Rectangle: Rounded Corners 1">
          <a:extLst>
            <a:ext uri="{FF2B5EF4-FFF2-40B4-BE49-F238E27FC236}">
              <a16:creationId xmlns:a16="http://schemas.microsoft.com/office/drawing/2014/main" id="{ADC94E91-17A2-7A09-8315-CEC944CBCC68}"/>
            </a:ext>
          </a:extLst>
        </xdr:cNvPr>
        <xdr:cNvSpPr/>
      </xdr:nvSpPr>
      <xdr:spPr>
        <a:xfrm>
          <a:off x="0" y="0"/>
          <a:ext cx="13896000" cy="65913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t>
          </a:r>
        </a:p>
      </xdr:txBody>
    </xdr:sp>
    <xdr:clientData/>
  </xdr:twoCellAnchor>
  <xdr:twoCellAnchor editAs="oneCell">
    <xdr:from>
      <xdr:col>1</xdr:col>
      <xdr:colOff>236220</xdr:colOff>
      <xdr:row>0</xdr:row>
      <xdr:rowOff>114300</xdr:rowOff>
    </xdr:from>
    <xdr:to>
      <xdr:col>2</xdr:col>
      <xdr:colOff>541020</xdr:colOff>
      <xdr:row>5</xdr:row>
      <xdr:rowOff>114300</xdr:rowOff>
    </xdr:to>
    <xdr:pic>
      <xdr:nvPicPr>
        <xdr:cNvPr id="4" name="Graphic 3" descr="Shopping cart with solid fill">
          <a:extLst>
            <a:ext uri="{FF2B5EF4-FFF2-40B4-BE49-F238E27FC236}">
              <a16:creationId xmlns:a16="http://schemas.microsoft.com/office/drawing/2014/main" id="{F0EBE50D-1ABF-DAE9-157C-1AD6214BBA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5820" y="114300"/>
          <a:ext cx="914400" cy="914400"/>
        </a:xfrm>
        <a:prstGeom prst="rect">
          <a:avLst/>
        </a:prstGeom>
      </xdr:spPr>
    </xdr:pic>
    <xdr:clientData/>
  </xdr:twoCellAnchor>
  <xdr:twoCellAnchor>
    <xdr:from>
      <xdr:col>3</xdr:col>
      <xdr:colOff>121920</xdr:colOff>
      <xdr:row>1</xdr:row>
      <xdr:rowOff>30480</xdr:rowOff>
    </xdr:from>
    <xdr:to>
      <xdr:col>10</xdr:col>
      <xdr:colOff>464820</xdr:colOff>
      <xdr:row>4</xdr:row>
      <xdr:rowOff>129540</xdr:rowOff>
    </xdr:to>
    <xdr:sp macro="" textlink="">
      <xdr:nvSpPr>
        <xdr:cNvPr id="5" name="TextBox 4">
          <a:extLst>
            <a:ext uri="{FF2B5EF4-FFF2-40B4-BE49-F238E27FC236}">
              <a16:creationId xmlns:a16="http://schemas.microsoft.com/office/drawing/2014/main" id="{E83303FE-2237-0B5C-1BDC-FFAFEAFB5D99}"/>
            </a:ext>
          </a:extLst>
        </xdr:cNvPr>
        <xdr:cNvSpPr txBox="1"/>
      </xdr:nvSpPr>
      <xdr:spPr>
        <a:xfrm>
          <a:off x="1950720" y="213360"/>
          <a:ext cx="4610100" cy="6477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Sales</a:t>
          </a:r>
          <a:r>
            <a:rPr lang="en-IN" sz="3200" b="1" baseline="0">
              <a:solidFill>
                <a:schemeClr val="bg1"/>
              </a:solidFill>
            </a:rPr>
            <a:t> Dashboard</a:t>
          </a:r>
          <a:endParaRPr lang="en-IN" sz="3200" b="1">
            <a:solidFill>
              <a:schemeClr val="bg1"/>
            </a:solidFill>
          </a:endParaRPr>
        </a:p>
      </xdr:txBody>
    </xdr:sp>
    <xdr:clientData/>
  </xdr:twoCellAnchor>
  <xdr:twoCellAnchor>
    <xdr:from>
      <xdr:col>3</xdr:col>
      <xdr:colOff>167640</xdr:colOff>
      <xdr:row>6</xdr:row>
      <xdr:rowOff>15240</xdr:rowOff>
    </xdr:from>
    <xdr:to>
      <xdr:col>4</xdr:col>
      <xdr:colOff>167640</xdr:colOff>
      <xdr:row>6</xdr:row>
      <xdr:rowOff>22860</xdr:rowOff>
    </xdr:to>
    <xdr:cxnSp macro="">
      <xdr:nvCxnSpPr>
        <xdr:cNvPr id="7" name="Straight Connector 6">
          <a:extLst>
            <a:ext uri="{FF2B5EF4-FFF2-40B4-BE49-F238E27FC236}">
              <a16:creationId xmlns:a16="http://schemas.microsoft.com/office/drawing/2014/main" id="{941B37B8-45C8-305C-2B3D-FB9BA04BE967}"/>
            </a:ext>
          </a:extLst>
        </xdr:cNvPr>
        <xdr:cNvCxnSpPr/>
      </xdr:nvCxnSpPr>
      <xdr:spPr>
        <a:xfrm>
          <a:off x="1996440" y="1112520"/>
          <a:ext cx="609600" cy="762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274320</xdr:colOff>
      <xdr:row>5</xdr:row>
      <xdr:rowOff>45720</xdr:rowOff>
    </xdr:from>
    <xdr:to>
      <xdr:col>5</xdr:col>
      <xdr:colOff>586740</xdr:colOff>
      <xdr:row>6</xdr:row>
      <xdr:rowOff>144780</xdr:rowOff>
    </xdr:to>
    <xdr:sp macro="" textlink="">
      <xdr:nvSpPr>
        <xdr:cNvPr id="9" name="Flowchart: Terminator 8">
          <a:extLst>
            <a:ext uri="{FF2B5EF4-FFF2-40B4-BE49-F238E27FC236}">
              <a16:creationId xmlns:a16="http://schemas.microsoft.com/office/drawing/2014/main" id="{23B9E727-D9A4-C5F1-B08C-99D0AAD74D59}"/>
            </a:ext>
          </a:extLst>
        </xdr:cNvPr>
        <xdr:cNvSpPr/>
      </xdr:nvSpPr>
      <xdr:spPr>
        <a:xfrm>
          <a:off x="2712720" y="960120"/>
          <a:ext cx="922020" cy="281940"/>
        </a:xfrm>
        <a:prstGeom prst="flowChartTerminator">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track</a:t>
          </a:r>
        </a:p>
      </xdr:txBody>
    </xdr:sp>
    <xdr:clientData/>
  </xdr:twoCellAnchor>
  <xdr:twoCellAnchor>
    <xdr:from>
      <xdr:col>8</xdr:col>
      <xdr:colOff>205740</xdr:colOff>
      <xdr:row>5</xdr:row>
      <xdr:rowOff>45720</xdr:rowOff>
    </xdr:from>
    <xdr:to>
      <xdr:col>9</xdr:col>
      <xdr:colOff>441960</xdr:colOff>
      <xdr:row>6</xdr:row>
      <xdr:rowOff>144780</xdr:rowOff>
    </xdr:to>
    <xdr:sp macro="" textlink="">
      <xdr:nvSpPr>
        <xdr:cNvPr id="10" name="Flowchart: Terminator 9">
          <a:extLst>
            <a:ext uri="{FF2B5EF4-FFF2-40B4-BE49-F238E27FC236}">
              <a16:creationId xmlns:a16="http://schemas.microsoft.com/office/drawing/2014/main" id="{E80FAF91-53A6-4A42-AF44-41013081E579}"/>
            </a:ext>
          </a:extLst>
        </xdr:cNvPr>
        <xdr:cNvSpPr/>
      </xdr:nvSpPr>
      <xdr:spPr>
        <a:xfrm>
          <a:off x="5082540" y="960120"/>
          <a:ext cx="845820" cy="281940"/>
        </a:xfrm>
        <a:prstGeom prst="flowChartTerminator">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grow</a:t>
          </a:r>
        </a:p>
      </xdr:txBody>
    </xdr:sp>
    <xdr:clientData/>
  </xdr:twoCellAnchor>
  <xdr:twoCellAnchor>
    <xdr:from>
      <xdr:col>6</xdr:col>
      <xdr:colOff>220980</xdr:colOff>
      <xdr:row>5</xdr:row>
      <xdr:rowOff>45720</xdr:rowOff>
    </xdr:from>
    <xdr:to>
      <xdr:col>7</xdr:col>
      <xdr:colOff>533400</xdr:colOff>
      <xdr:row>6</xdr:row>
      <xdr:rowOff>144780</xdr:rowOff>
    </xdr:to>
    <xdr:sp macro="" textlink="">
      <xdr:nvSpPr>
        <xdr:cNvPr id="11" name="Flowchart: Terminator 10">
          <a:extLst>
            <a:ext uri="{FF2B5EF4-FFF2-40B4-BE49-F238E27FC236}">
              <a16:creationId xmlns:a16="http://schemas.microsoft.com/office/drawing/2014/main" id="{78B7C832-54AB-41B3-A563-FF124DCA1CA2}"/>
            </a:ext>
          </a:extLst>
        </xdr:cNvPr>
        <xdr:cNvSpPr/>
      </xdr:nvSpPr>
      <xdr:spPr>
        <a:xfrm>
          <a:off x="3878580" y="960120"/>
          <a:ext cx="922020" cy="281940"/>
        </a:xfrm>
        <a:prstGeom prst="flowChartTerminator">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analyze</a:t>
          </a:r>
        </a:p>
      </xdr:txBody>
    </xdr:sp>
    <xdr:clientData/>
  </xdr:twoCellAnchor>
  <xdr:twoCellAnchor>
    <xdr:from>
      <xdr:col>6</xdr:col>
      <xdr:colOff>91440</xdr:colOff>
      <xdr:row>5</xdr:row>
      <xdr:rowOff>30480</xdr:rowOff>
    </xdr:from>
    <xdr:to>
      <xdr:col>6</xdr:col>
      <xdr:colOff>99060</xdr:colOff>
      <xdr:row>6</xdr:row>
      <xdr:rowOff>167640</xdr:rowOff>
    </xdr:to>
    <xdr:cxnSp macro="">
      <xdr:nvCxnSpPr>
        <xdr:cNvPr id="13" name="Straight Connector 12">
          <a:extLst>
            <a:ext uri="{FF2B5EF4-FFF2-40B4-BE49-F238E27FC236}">
              <a16:creationId xmlns:a16="http://schemas.microsoft.com/office/drawing/2014/main" id="{B0184EA6-DF13-3F07-F922-9410B8BAC768}"/>
            </a:ext>
          </a:extLst>
        </xdr:cNvPr>
        <xdr:cNvCxnSpPr/>
      </xdr:nvCxnSpPr>
      <xdr:spPr>
        <a:xfrm>
          <a:off x="3749040" y="944880"/>
          <a:ext cx="7620" cy="32004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53340</xdr:colOff>
      <xdr:row>5</xdr:row>
      <xdr:rowOff>22860</xdr:rowOff>
    </xdr:from>
    <xdr:to>
      <xdr:col>8</xdr:col>
      <xdr:colOff>60960</xdr:colOff>
      <xdr:row>6</xdr:row>
      <xdr:rowOff>160020</xdr:rowOff>
    </xdr:to>
    <xdr:cxnSp macro="">
      <xdr:nvCxnSpPr>
        <xdr:cNvPr id="14" name="Straight Connector 13">
          <a:extLst>
            <a:ext uri="{FF2B5EF4-FFF2-40B4-BE49-F238E27FC236}">
              <a16:creationId xmlns:a16="http://schemas.microsoft.com/office/drawing/2014/main" id="{CF3719D0-1B8C-4FAC-B6B2-27C7DF015C03}"/>
            </a:ext>
          </a:extLst>
        </xdr:cNvPr>
        <xdr:cNvCxnSpPr/>
      </xdr:nvCxnSpPr>
      <xdr:spPr>
        <a:xfrm>
          <a:off x="4930140" y="937260"/>
          <a:ext cx="7620" cy="32004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510540</xdr:colOff>
      <xdr:row>6</xdr:row>
      <xdr:rowOff>7620</xdr:rowOff>
    </xdr:from>
    <xdr:to>
      <xdr:col>10</xdr:col>
      <xdr:colOff>502920</xdr:colOff>
      <xdr:row>6</xdr:row>
      <xdr:rowOff>15240</xdr:rowOff>
    </xdr:to>
    <xdr:cxnSp macro="">
      <xdr:nvCxnSpPr>
        <xdr:cNvPr id="15" name="Straight Connector 14">
          <a:extLst>
            <a:ext uri="{FF2B5EF4-FFF2-40B4-BE49-F238E27FC236}">
              <a16:creationId xmlns:a16="http://schemas.microsoft.com/office/drawing/2014/main" id="{27176AEC-214F-4F03-8729-4114BD9EC257}"/>
            </a:ext>
          </a:extLst>
        </xdr:cNvPr>
        <xdr:cNvCxnSpPr/>
      </xdr:nvCxnSpPr>
      <xdr:spPr>
        <a:xfrm>
          <a:off x="5996940" y="1104900"/>
          <a:ext cx="601980" cy="762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129540</xdr:colOff>
      <xdr:row>0</xdr:row>
      <xdr:rowOff>160020</xdr:rowOff>
    </xdr:from>
    <xdr:to>
      <xdr:col>14</xdr:col>
      <xdr:colOff>266700</xdr:colOff>
      <xdr:row>5</xdr:row>
      <xdr:rowOff>121920</xdr:rowOff>
    </xdr:to>
    <xdr:sp macro="" textlink="">
      <xdr:nvSpPr>
        <xdr:cNvPr id="18" name="Rectangle: Rounded Corners 17">
          <a:extLst>
            <a:ext uri="{FF2B5EF4-FFF2-40B4-BE49-F238E27FC236}">
              <a16:creationId xmlns:a16="http://schemas.microsoft.com/office/drawing/2014/main" id="{938AFC00-4908-762F-1F17-A9AC42897FCE}"/>
            </a:ext>
          </a:extLst>
        </xdr:cNvPr>
        <xdr:cNvSpPr/>
      </xdr:nvSpPr>
      <xdr:spPr>
        <a:xfrm>
          <a:off x="6835140" y="160020"/>
          <a:ext cx="1965960" cy="8763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sale </a:t>
          </a:r>
        </a:p>
      </xdr:txBody>
    </xdr:sp>
    <xdr:clientData/>
  </xdr:twoCellAnchor>
  <xdr:twoCellAnchor>
    <xdr:from>
      <xdr:col>18</xdr:col>
      <xdr:colOff>83820</xdr:colOff>
      <xdr:row>0</xdr:row>
      <xdr:rowOff>121920</xdr:rowOff>
    </xdr:from>
    <xdr:to>
      <xdr:col>20</xdr:col>
      <xdr:colOff>594360</xdr:colOff>
      <xdr:row>5</xdr:row>
      <xdr:rowOff>129540</xdr:rowOff>
    </xdr:to>
    <xdr:sp macro="" textlink="">
      <xdr:nvSpPr>
        <xdr:cNvPr id="19" name="Rectangle: Rounded Corners 18">
          <a:extLst>
            <a:ext uri="{FF2B5EF4-FFF2-40B4-BE49-F238E27FC236}">
              <a16:creationId xmlns:a16="http://schemas.microsoft.com/office/drawing/2014/main" id="{7A4F88BD-9D48-4704-B675-3BE5E764D110}"/>
            </a:ext>
          </a:extLst>
        </xdr:cNvPr>
        <xdr:cNvSpPr/>
      </xdr:nvSpPr>
      <xdr:spPr>
        <a:xfrm>
          <a:off x="11056620" y="121920"/>
          <a:ext cx="172974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t>max value</a:t>
          </a:r>
        </a:p>
      </xdr:txBody>
    </xdr:sp>
    <xdr:clientData/>
  </xdr:twoCellAnchor>
  <xdr:twoCellAnchor>
    <xdr:from>
      <xdr:col>14</xdr:col>
      <xdr:colOff>495300</xdr:colOff>
      <xdr:row>0</xdr:row>
      <xdr:rowOff>144780</xdr:rowOff>
    </xdr:from>
    <xdr:to>
      <xdr:col>17</xdr:col>
      <xdr:colOff>464820</xdr:colOff>
      <xdr:row>5</xdr:row>
      <xdr:rowOff>129540</xdr:rowOff>
    </xdr:to>
    <xdr:sp macro="" textlink="">
      <xdr:nvSpPr>
        <xdr:cNvPr id="20" name="Rectangle: Rounded Corners 19">
          <a:extLst>
            <a:ext uri="{FF2B5EF4-FFF2-40B4-BE49-F238E27FC236}">
              <a16:creationId xmlns:a16="http://schemas.microsoft.com/office/drawing/2014/main" id="{9B594706-651F-496B-8732-F4825988129D}"/>
            </a:ext>
          </a:extLst>
        </xdr:cNvPr>
        <xdr:cNvSpPr/>
      </xdr:nvSpPr>
      <xdr:spPr>
        <a:xfrm>
          <a:off x="9029700" y="144780"/>
          <a:ext cx="1798320" cy="89916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t>total average</a:t>
          </a:r>
        </a:p>
      </xdr:txBody>
    </xdr:sp>
    <xdr:clientData/>
  </xdr:twoCellAnchor>
  <xdr:twoCellAnchor>
    <xdr:from>
      <xdr:col>18</xdr:col>
      <xdr:colOff>144780</xdr:colOff>
      <xdr:row>6</xdr:row>
      <xdr:rowOff>137160</xdr:rowOff>
    </xdr:from>
    <xdr:to>
      <xdr:col>20</xdr:col>
      <xdr:colOff>556260</xdr:colOff>
      <xdr:row>11</xdr:row>
      <xdr:rowOff>114300</xdr:rowOff>
    </xdr:to>
    <xdr:sp macro="" textlink="">
      <xdr:nvSpPr>
        <xdr:cNvPr id="21" name="Rectangle: Rounded Corners 20">
          <a:extLst>
            <a:ext uri="{FF2B5EF4-FFF2-40B4-BE49-F238E27FC236}">
              <a16:creationId xmlns:a16="http://schemas.microsoft.com/office/drawing/2014/main" id="{8EED54BB-5D51-4222-AE7F-72866C938DF6}"/>
            </a:ext>
          </a:extLst>
        </xdr:cNvPr>
        <xdr:cNvSpPr/>
      </xdr:nvSpPr>
      <xdr:spPr>
        <a:xfrm>
          <a:off x="11117580" y="1234440"/>
          <a:ext cx="1630680" cy="8915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t>min value</a:t>
          </a:r>
        </a:p>
      </xdr:txBody>
    </xdr:sp>
    <xdr:clientData/>
  </xdr:twoCellAnchor>
  <xdr:twoCellAnchor editAs="oneCell">
    <xdr:from>
      <xdr:col>11</xdr:col>
      <xdr:colOff>76200</xdr:colOff>
      <xdr:row>1</xdr:row>
      <xdr:rowOff>22860</xdr:rowOff>
    </xdr:from>
    <xdr:to>
      <xdr:col>12</xdr:col>
      <xdr:colOff>152400</xdr:colOff>
      <xdr:row>4</xdr:row>
      <xdr:rowOff>15240</xdr:rowOff>
    </xdr:to>
    <xdr:pic>
      <xdr:nvPicPr>
        <xdr:cNvPr id="23" name="Graphic 22" descr="Database with solid fill">
          <a:extLst>
            <a:ext uri="{FF2B5EF4-FFF2-40B4-BE49-F238E27FC236}">
              <a16:creationId xmlns:a16="http://schemas.microsoft.com/office/drawing/2014/main" id="{0A7EBEBD-1AC1-2E31-0838-C33F3CFD20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81800" y="205740"/>
          <a:ext cx="685800" cy="541020"/>
        </a:xfrm>
        <a:prstGeom prst="rect">
          <a:avLst/>
        </a:prstGeom>
      </xdr:spPr>
    </xdr:pic>
    <xdr:clientData/>
  </xdr:twoCellAnchor>
  <xdr:twoCellAnchor>
    <xdr:from>
      <xdr:col>12</xdr:col>
      <xdr:colOff>53340</xdr:colOff>
      <xdr:row>3</xdr:row>
      <xdr:rowOff>7620</xdr:rowOff>
    </xdr:from>
    <xdr:to>
      <xdr:col>14</xdr:col>
      <xdr:colOff>114300</xdr:colOff>
      <xdr:row>4</xdr:row>
      <xdr:rowOff>160020</xdr:rowOff>
    </xdr:to>
    <xdr:sp macro="" textlink="Sheet4!E15">
      <xdr:nvSpPr>
        <xdr:cNvPr id="24" name="TextBox 23">
          <a:extLst>
            <a:ext uri="{FF2B5EF4-FFF2-40B4-BE49-F238E27FC236}">
              <a16:creationId xmlns:a16="http://schemas.microsoft.com/office/drawing/2014/main" id="{2E0764BC-C222-4645-66FC-EAAE1A97677D}"/>
            </a:ext>
          </a:extLst>
        </xdr:cNvPr>
        <xdr:cNvSpPr txBox="1"/>
      </xdr:nvSpPr>
      <xdr:spPr>
        <a:xfrm>
          <a:off x="7368540" y="556260"/>
          <a:ext cx="1280160" cy="33528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A50BF3-0E89-4547-8691-16D31D350352}" type="TxLink">
            <a:rPr lang="en-US" sz="1400" b="1" i="0" u="none" strike="noStrike">
              <a:solidFill>
                <a:schemeClr val="accent6">
                  <a:lumMod val="50000"/>
                </a:schemeClr>
              </a:solidFill>
              <a:latin typeface="Calibri"/>
              <a:ea typeface="Calibri"/>
              <a:cs typeface="Calibri"/>
            </a:rPr>
            <a:pPr algn="ctr"/>
            <a:t>49400</a:t>
          </a:fld>
          <a:endParaRPr lang="en-IN" sz="1100" b="1">
            <a:solidFill>
              <a:schemeClr val="accent6">
                <a:lumMod val="50000"/>
              </a:schemeClr>
            </a:solidFill>
          </a:endParaRPr>
        </a:p>
      </xdr:txBody>
    </xdr:sp>
    <xdr:clientData/>
  </xdr:twoCellAnchor>
  <xdr:twoCellAnchor editAs="oneCell">
    <xdr:from>
      <xdr:col>18</xdr:col>
      <xdr:colOff>99060</xdr:colOff>
      <xdr:row>1</xdr:row>
      <xdr:rowOff>15240</xdr:rowOff>
    </xdr:from>
    <xdr:to>
      <xdr:col>19</xdr:col>
      <xdr:colOff>0</xdr:colOff>
      <xdr:row>3</xdr:row>
      <xdr:rowOff>76200</xdr:rowOff>
    </xdr:to>
    <xdr:pic>
      <xdr:nvPicPr>
        <xdr:cNvPr id="26" name="Graphic 25" descr="Upward trend with solid fill">
          <a:extLst>
            <a:ext uri="{FF2B5EF4-FFF2-40B4-BE49-F238E27FC236}">
              <a16:creationId xmlns:a16="http://schemas.microsoft.com/office/drawing/2014/main" id="{5154D4C9-BDBC-83BF-9FD5-963A2BD56F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71860" y="198120"/>
          <a:ext cx="510540" cy="426720"/>
        </a:xfrm>
        <a:prstGeom prst="rect">
          <a:avLst/>
        </a:prstGeom>
      </xdr:spPr>
    </xdr:pic>
    <xdr:clientData/>
  </xdr:twoCellAnchor>
  <xdr:twoCellAnchor>
    <xdr:from>
      <xdr:col>15</xdr:col>
      <xdr:colOff>396240</xdr:colOff>
      <xdr:row>3</xdr:row>
      <xdr:rowOff>22860</xdr:rowOff>
    </xdr:from>
    <xdr:to>
      <xdr:col>17</xdr:col>
      <xdr:colOff>365760</xdr:colOff>
      <xdr:row>4</xdr:row>
      <xdr:rowOff>152400</xdr:rowOff>
    </xdr:to>
    <xdr:sp macro="" textlink="Sheet4!G11">
      <xdr:nvSpPr>
        <xdr:cNvPr id="27" name="TextBox 26">
          <a:extLst>
            <a:ext uri="{FF2B5EF4-FFF2-40B4-BE49-F238E27FC236}">
              <a16:creationId xmlns:a16="http://schemas.microsoft.com/office/drawing/2014/main" id="{1CA62BC6-D854-5226-07CF-40EDC39F5DF4}"/>
            </a:ext>
          </a:extLst>
        </xdr:cNvPr>
        <xdr:cNvSpPr txBox="1"/>
      </xdr:nvSpPr>
      <xdr:spPr>
        <a:xfrm>
          <a:off x="9540240" y="571500"/>
          <a:ext cx="1188720" cy="31242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2D6949-1A58-4C99-9FA3-43F9A2E3FFD6}" type="TxLink">
            <a:rPr lang="en-US" sz="1400" b="1" i="0" u="none" strike="noStrike">
              <a:solidFill>
                <a:schemeClr val="accent6">
                  <a:lumMod val="50000"/>
                </a:schemeClr>
              </a:solidFill>
              <a:latin typeface="Calibri"/>
              <a:ea typeface="Calibri"/>
              <a:cs typeface="Calibri"/>
            </a:rPr>
            <a:pPr algn="ctr"/>
            <a:t>1976</a:t>
          </a:fld>
          <a:endParaRPr lang="en-IN" sz="1100" b="1">
            <a:solidFill>
              <a:schemeClr val="accent6">
                <a:lumMod val="50000"/>
              </a:schemeClr>
            </a:solidFill>
          </a:endParaRPr>
        </a:p>
      </xdr:txBody>
    </xdr:sp>
    <xdr:clientData/>
  </xdr:twoCellAnchor>
  <xdr:twoCellAnchor editAs="oneCell">
    <xdr:from>
      <xdr:col>14</xdr:col>
      <xdr:colOff>510540</xdr:colOff>
      <xdr:row>1</xdr:row>
      <xdr:rowOff>22860</xdr:rowOff>
    </xdr:from>
    <xdr:to>
      <xdr:col>15</xdr:col>
      <xdr:colOff>388620</xdr:colOff>
      <xdr:row>3</xdr:row>
      <xdr:rowOff>60960</xdr:rowOff>
    </xdr:to>
    <xdr:pic>
      <xdr:nvPicPr>
        <xdr:cNvPr id="29" name="Graphic 28" descr="Bar chart with solid fill">
          <a:extLst>
            <a:ext uri="{FF2B5EF4-FFF2-40B4-BE49-F238E27FC236}">
              <a16:creationId xmlns:a16="http://schemas.microsoft.com/office/drawing/2014/main" id="{A7ADEBD3-4ADE-EC3E-90B2-B2D5D31B8D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4940" y="205740"/>
          <a:ext cx="487680" cy="403860"/>
        </a:xfrm>
        <a:prstGeom prst="rect">
          <a:avLst/>
        </a:prstGeom>
      </xdr:spPr>
    </xdr:pic>
    <xdr:clientData/>
  </xdr:twoCellAnchor>
  <xdr:twoCellAnchor>
    <xdr:from>
      <xdr:col>18</xdr:col>
      <xdr:colOff>586740</xdr:colOff>
      <xdr:row>3</xdr:row>
      <xdr:rowOff>53340</xdr:rowOff>
    </xdr:from>
    <xdr:to>
      <xdr:col>20</xdr:col>
      <xdr:colOff>472440</xdr:colOff>
      <xdr:row>4</xdr:row>
      <xdr:rowOff>160020</xdr:rowOff>
    </xdr:to>
    <xdr:sp macro="" textlink="Sheet4!F11">
      <xdr:nvSpPr>
        <xdr:cNvPr id="30" name="TextBox 29">
          <a:extLst>
            <a:ext uri="{FF2B5EF4-FFF2-40B4-BE49-F238E27FC236}">
              <a16:creationId xmlns:a16="http://schemas.microsoft.com/office/drawing/2014/main" id="{C1ED9BE3-0ACE-4F50-70A6-C2FBB0EF11EB}"/>
            </a:ext>
          </a:extLst>
        </xdr:cNvPr>
        <xdr:cNvSpPr txBox="1"/>
      </xdr:nvSpPr>
      <xdr:spPr>
        <a:xfrm>
          <a:off x="11559540" y="601980"/>
          <a:ext cx="1104900" cy="28956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C8E311-5B66-4C1E-B553-DD351367F155}" type="TxLink">
            <a:rPr lang="en-US" sz="1400" b="1" i="0" u="none" strike="noStrike">
              <a:solidFill>
                <a:schemeClr val="accent6">
                  <a:lumMod val="50000"/>
                </a:schemeClr>
              </a:solidFill>
              <a:latin typeface="Calibri"/>
              <a:ea typeface="Calibri"/>
              <a:cs typeface="Calibri"/>
            </a:rPr>
            <a:pPr algn="ctr"/>
            <a:t>5000</a:t>
          </a:fld>
          <a:endParaRPr lang="en-IN" sz="1100" b="1">
            <a:solidFill>
              <a:schemeClr val="accent6">
                <a:lumMod val="50000"/>
              </a:schemeClr>
            </a:solidFill>
          </a:endParaRPr>
        </a:p>
      </xdr:txBody>
    </xdr:sp>
    <xdr:clientData/>
  </xdr:twoCellAnchor>
  <xdr:twoCellAnchor editAs="oneCell">
    <xdr:from>
      <xdr:col>18</xdr:col>
      <xdr:colOff>190500</xdr:colOff>
      <xdr:row>7</xdr:row>
      <xdr:rowOff>7620</xdr:rowOff>
    </xdr:from>
    <xdr:to>
      <xdr:col>19</xdr:col>
      <xdr:colOff>53340</xdr:colOff>
      <xdr:row>9</xdr:row>
      <xdr:rowOff>114300</xdr:rowOff>
    </xdr:to>
    <xdr:pic>
      <xdr:nvPicPr>
        <xdr:cNvPr id="32" name="Graphic 31" descr="Downward trend graph with solid fill">
          <a:extLst>
            <a:ext uri="{FF2B5EF4-FFF2-40B4-BE49-F238E27FC236}">
              <a16:creationId xmlns:a16="http://schemas.microsoft.com/office/drawing/2014/main" id="{49204FE8-AD55-4B6B-61C6-DFCB4D8EA9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63300" y="1287780"/>
          <a:ext cx="472440" cy="472440"/>
        </a:xfrm>
        <a:prstGeom prst="rect">
          <a:avLst/>
        </a:prstGeom>
      </xdr:spPr>
    </xdr:pic>
    <xdr:clientData/>
  </xdr:twoCellAnchor>
  <xdr:twoCellAnchor>
    <xdr:from>
      <xdr:col>18</xdr:col>
      <xdr:colOff>579120</xdr:colOff>
      <xdr:row>9</xdr:row>
      <xdr:rowOff>22860</xdr:rowOff>
    </xdr:from>
    <xdr:to>
      <xdr:col>20</xdr:col>
      <xdr:colOff>434340</xdr:colOff>
      <xdr:row>11</xdr:row>
      <xdr:rowOff>0</xdr:rowOff>
    </xdr:to>
    <xdr:sp macro="" textlink="Sheet4!E11">
      <xdr:nvSpPr>
        <xdr:cNvPr id="33" name="TextBox 32">
          <a:extLst>
            <a:ext uri="{FF2B5EF4-FFF2-40B4-BE49-F238E27FC236}">
              <a16:creationId xmlns:a16="http://schemas.microsoft.com/office/drawing/2014/main" id="{F5038E57-A9D1-E882-9356-7299DAD44C9B}"/>
            </a:ext>
          </a:extLst>
        </xdr:cNvPr>
        <xdr:cNvSpPr txBox="1"/>
      </xdr:nvSpPr>
      <xdr:spPr>
        <a:xfrm>
          <a:off x="11551920" y="1668780"/>
          <a:ext cx="1074420" cy="34290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867916-AE4D-4B30-8685-7F766ABCA692}" type="TxLink">
            <a:rPr lang="en-US" sz="1400" b="1" i="0" u="none" strike="noStrike">
              <a:solidFill>
                <a:schemeClr val="accent6">
                  <a:lumMod val="50000"/>
                </a:schemeClr>
              </a:solidFill>
              <a:latin typeface="Calibri"/>
              <a:ea typeface="Calibri"/>
              <a:cs typeface="Calibri"/>
            </a:rPr>
            <a:pPr algn="ctr"/>
            <a:t>900</a:t>
          </a:fld>
          <a:endParaRPr lang="en-IN" sz="1100" b="1">
            <a:solidFill>
              <a:schemeClr val="accent6">
                <a:lumMod val="50000"/>
              </a:schemeClr>
            </a:solidFill>
          </a:endParaRPr>
        </a:p>
      </xdr:txBody>
    </xdr:sp>
    <xdr:clientData/>
  </xdr:twoCellAnchor>
  <xdr:twoCellAnchor editAs="oneCell">
    <xdr:from>
      <xdr:col>0</xdr:col>
      <xdr:colOff>182880</xdr:colOff>
      <xdr:row>7</xdr:row>
      <xdr:rowOff>121920</xdr:rowOff>
    </xdr:from>
    <xdr:to>
      <xdr:col>3</xdr:col>
      <xdr:colOff>182880</xdr:colOff>
      <xdr:row>14</xdr:row>
      <xdr:rowOff>15239</xdr:rowOff>
    </xdr:to>
    <mc:AlternateContent xmlns:mc="http://schemas.openxmlformats.org/markup-compatibility/2006">
      <mc:Choice xmlns:a14="http://schemas.microsoft.com/office/drawing/2010/main" Requires="a14">
        <xdr:graphicFrame macro="">
          <xdr:nvGraphicFramePr>
            <xdr:cNvPr id="34" name="City 1">
              <a:extLst>
                <a:ext uri="{FF2B5EF4-FFF2-40B4-BE49-F238E27FC236}">
                  <a16:creationId xmlns:a16="http://schemas.microsoft.com/office/drawing/2014/main" id="{E97E30A8-7557-4E63-8A32-720EBAF6F81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82880" y="1380504"/>
              <a:ext cx="1823663" cy="1151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14</xdr:row>
      <xdr:rowOff>53340</xdr:rowOff>
    </xdr:from>
    <xdr:to>
      <xdr:col>3</xdr:col>
      <xdr:colOff>198120</xdr:colOff>
      <xdr:row>20</xdr:row>
      <xdr:rowOff>129660</xdr:rowOff>
    </xdr:to>
    <mc:AlternateContent xmlns:mc="http://schemas.openxmlformats.org/markup-compatibility/2006">
      <mc:Choice xmlns:a14="http://schemas.microsoft.com/office/drawing/2010/main" Requires="a14">
        <xdr:graphicFrame macro="">
          <xdr:nvGraphicFramePr>
            <xdr:cNvPr id="36" name="Product 1">
              <a:extLst>
                <a:ext uri="{FF2B5EF4-FFF2-40B4-BE49-F238E27FC236}">
                  <a16:creationId xmlns:a16="http://schemas.microsoft.com/office/drawing/2014/main" id="{B00999EE-2983-46B3-9217-209019ABFFF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98120" y="2570509"/>
              <a:ext cx="1823663" cy="1155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274320</xdr:colOff>
      <xdr:row>7</xdr:row>
      <xdr:rowOff>106680</xdr:rowOff>
    </xdr:from>
    <xdr:to>
      <xdr:col>6</xdr:col>
      <xdr:colOff>274320</xdr:colOff>
      <xdr:row>14</xdr:row>
      <xdr:rowOff>120</xdr:rowOff>
    </xdr:to>
    <mc:AlternateContent xmlns:mc="http://schemas.openxmlformats.org/markup-compatibility/2006">
      <mc:Choice xmlns:a14="http://schemas.microsoft.com/office/drawing/2010/main" Requires="a14">
        <xdr:graphicFrame macro="">
          <xdr:nvGraphicFramePr>
            <xdr:cNvPr id="37" name="Category 1">
              <a:extLst>
                <a:ext uri="{FF2B5EF4-FFF2-40B4-BE49-F238E27FC236}">
                  <a16:creationId xmlns:a16="http://schemas.microsoft.com/office/drawing/2014/main" id="{752A6E97-D5AF-4677-B914-FFB2FD5DA4A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97983" y="1365264"/>
              <a:ext cx="1823663" cy="115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297180</xdr:colOff>
      <xdr:row>14</xdr:row>
      <xdr:rowOff>53340</xdr:rowOff>
    </xdr:from>
    <xdr:to>
      <xdr:col>6</xdr:col>
      <xdr:colOff>297180</xdr:colOff>
      <xdr:row>20</xdr:row>
      <xdr:rowOff>129660</xdr:rowOff>
    </xdr:to>
    <mc:AlternateContent xmlns:mc="http://schemas.openxmlformats.org/markup-compatibility/2006">
      <mc:Choice xmlns:a14="http://schemas.microsoft.com/office/drawing/2010/main" Requires="a14">
        <xdr:graphicFrame macro="">
          <xdr:nvGraphicFramePr>
            <xdr:cNvPr id="38" name="Payment_Mode 1">
              <a:extLst>
                <a:ext uri="{FF2B5EF4-FFF2-40B4-BE49-F238E27FC236}">
                  <a16:creationId xmlns:a16="http://schemas.microsoft.com/office/drawing/2014/main" id="{CE3AAA8B-66EE-4490-8B80-325A37F0E996}"/>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2120843" y="2570509"/>
              <a:ext cx="1823663" cy="1155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7</xdr:row>
      <xdr:rowOff>99060</xdr:rowOff>
    </xdr:from>
    <xdr:to>
      <xdr:col>9</xdr:col>
      <xdr:colOff>365760</xdr:colOff>
      <xdr:row>13</xdr:row>
      <xdr:rowOff>175380</xdr:rowOff>
    </xdr:to>
    <mc:AlternateContent xmlns:mc="http://schemas.openxmlformats.org/markup-compatibility/2006">
      <mc:Choice xmlns:a14="http://schemas.microsoft.com/office/drawing/2010/main" Requires="a14">
        <xdr:graphicFrame macro="">
          <xdr:nvGraphicFramePr>
            <xdr:cNvPr id="39" name="Gender 1">
              <a:extLst>
                <a:ext uri="{FF2B5EF4-FFF2-40B4-BE49-F238E27FC236}">
                  <a16:creationId xmlns:a16="http://schemas.microsoft.com/office/drawing/2014/main" id="{6D6D9B5F-A230-486D-AE05-165E001830A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013086" y="1357644"/>
              <a:ext cx="1823663" cy="1155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110927</xdr:colOff>
      <xdr:row>6</xdr:row>
      <xdr:rowOff>118548</xdr:rowOff>
    </xdr:from>
    <xdr:to>
      <xdr:col>17</xdr:col>
      <xdr:colOff>149027</xdr:colOff>
      <xdr:row>20</xdr:row>
      <xdr:rowOff>84258</xdr:rowOff>
    </xdr:to>
    <xdr:graphicFrame macro="">
      <xdr:nvGraphicFramePr>
        <xdr:cNvPr id="40" name="Chart 39">
          <a:extLst>
            <a:ext uri="{FF2B5EF4-FFF2-40B4-BE49-F238E27FC236}">
              <a16:creationId xmlns:a16="http://schemas.microsoft.com/office/drawing/2014/main" id="{14EE174A-7157-449A-BF6A-9E1FBD20D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319165</xdr:colOff>
      <xdr:row>21</xdr:row>
      <xdr:rowOff>112427</xdr:rowOff>
    </xdr:from>
    <xdr:to>
      <xdr:col>15</xdr:col>
      <xdr:colOff>87442</xdr:colOff>
      <xdr:row>35</xdr:row>
      <xdr:rowOff>74951</xdr:rowOff>
    </xdr:to>
    <xdr:graphicFrame macro="">
      <xdr:nvGraphicFramePr>
        <xdr:cNvPr id="42" name="Chart 41">
          <a:extLst>
            <a:ext uri="{FF2B5EF4-FFF2-40B4-BE49-F238E27FC236}">
              <a16:creationId xmlns:a16="http://schemas.microsoft.com/office/drawing/2014/main" id="{F193ABAA-7CC5-4616-B560-89E074CB9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24984</xdr:colOff>
      <xdr:row>21</xdr:row>
      <xdr:rowOff>159396</xdr:rowOff>
    </xdr:from>
    <xdr:to>
      <xdr:col>21</xdr:col>
      <xdr:colOff>599606</xdr:colOff>
      <xdr:row>35</xdr:row>
      <xdr:rowOff>41286</xdr:rowOff>
    </xdr:to>
    <xdr:graphicFrame macro="">
      <xdr:nvGraphicFramePr>
        <xdr:cNvPr id="43" name="Chart 42">
          <a:extLst>
            <a:ext uri="{FF2B5EF4-FFF2-40B4-BE49-F238E27FC236}">
              <a16:creationId xmlns:a16="http://schemas.microsoft.com/office/drawing/2014/main" id="{5D9DE760-DE98-4D01-A13B-02566D23F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74952</xdr:colOff>
      <xdr:row>21</xdr:row>
      <xdr:rowOff>124918</xdr:rowOff>
    </xdr:from>
    <xdr:to>
      <xdr:col>7</xdr:col>
      <xdr:colOff>312295</xdr:colOff>
      <xdr:row>35</xdr:row>
      <xdr:rowOff>43159</xdr:rowOff>
    </xdr:to>
    <xdr:graphicFrame macro="">
      <xdr:nvGraphicFramePr>
        <xdr:cNvPr id="44" name="Chart 43">
          <a:extLst>
            <a:ext uri="{FF2B5EF4-FFF2-40B4-BE49-F238E27FC236}">
              <a16:creationId xmlns:a16="http://schemas.microsoft.com/office/drawing/2014/main" id="{9AD571F0-F57E-4C53-942E-91FBCAAF4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Mane" refreshedDate="46271.896917824073" createdVersion="8" refreshedVersion="8" minRefreshableVersion="3" recordCount="25" xr:uid="{4BC0C965-76E0-46EC-894D-B0ADC2C2180E}">
  <cacheSource type="worksheet">
    <worksheetSource ref="A1:K26" sheet="Sheet1"/>
  </cacheSource>
  <cacheFields count="11">
    <cacheField name="Customer_ID" numFmtId="0">
      <sharedItems/>
    </cacheField>
    <cacheField name="Customer_Name" numFmtId="0">
      <sharedItems count="25">
        <s v="Rahul"/>
        <s v="Priya"/>
        <s v="Amit"/>
        <s v="Sneha"/>
        <s v="Rohit"/>
        <s v="Neha"/>
        <s v="Akash"/>
        <s v="Pooja"/>
        <s v="Sagar"/>
        <s v="Riya"/>
        <s v="Karan"/>
        <s v="Anjali"/>
        <s v="Vivek"/>
        <s v="Meena"/>
        <s v="Nikhil"/>
        <s v="Kavita"/>
        <s v="Sameer"/>
        <s v="Aarti"/>
        <s v="Manish"/>
        <s v="Shweta"/>
        <s v="Tejas"/>
        <s v="Komal"/>
        <s v="Prasad"/>
        <s v="Swati"/>
        <s v="Ganesh"/>
      </sharedItems>
    </cacheField>
    <cacheField name="Age" numFmtId="0">
      <sharedItems containsSemiMixedTypes="0" containsString="0" containsNumber="1" containsInteger="1" minValue="21" maxValue="36"/>
    </cacheField>
    <cacheField name="Gender" numFmtId="0">
      <sharedItems count="2">
        <s v="Male"/>
        <s v="Female"/>
      </sharedItems>
    </cacheField>
    <cacheField name="City" numFmtId="0">
      <sharedItems count="5">
        <s v="Pune"/>
        <s v="Mumbai"/>
        <s v="Nashik"/>
        <s v="Sangli"/>
        <s v="Kolhapur"/>
      </sharedItems>
    </cacheField>
    <cacheField name="Product" numFmtId="0">
      <sharedItems count="17">
        <s v="Laptop Bag"/>
        <s v="Headphones"/>
        <s v="T-Shirt"/>
        <s v="Shoes"/>
        <s v="Watch"/>
        <s v="Jeans"/>
        <s v="Keyboard"/>
        <s v="Handbag"/>
        <s v="Mouse"/>
        <s v="Kurti"/>
        <s v="Backpack"/>
        <s v="Sandals"/>
        <s v="Earphones"/>
        <s v="Saree"/>
        <s v="Wallet"/>
        <s v="Shirt"/>
        <s v="Smartwatch"/>
      </sharedItems>
    </cacheField>
    <cacheField name="Category" numFmtId="0">
      <sharedItems count="4">
        <s v="Accessories"/>
        <s v="Electronics"/>
        <s v="Clothing"/>
        <s v="Footwear"/>
      </sharedItems>
    </cacheField>
    <cacheField name="Quantity" numFmtId="0">
      <sharedItems containsSemiMixedTypes="0" containsString="0" containsNumber="1" containsInteger="1" minValue="1" maxValue="3"/>
    </cacheField>
    <cacheField name="Price" numFmtId="0">
      <sharedItems containsSemiMixedTypes="0" containsString="0" containsNumber="1" containsInteger="1" minValue="500" maxValue="2500"/>
    </cacheField>
    <cacheField name="Payment_Mode" numFmtId="0">
      <sharedItems count="3">
        <s v="UPI"/>
        <s v="Card"/>
        <s v="Cash"/>
      </sharedItems>
    </cacheField>
    <cacheField name="sum price" numFmtId="0">
      <sharedItems containsSemiMixedTypes="0" containsString="0" containsNumber="1" containsInteger="1" minValue="900" maxValue="5000"/>
    </cacheField>
  </cacheFields>
  <extLst>
    <ext xmlns:x14="http://schemas.microsoft.com/office/spreadsheetml/2009/9/main" uri="{725AE2AE-9491-48be-B2B4-4EB974FC3084}">
      <x14:pivotCacheDefinition pivotCacheId="1741061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C001"/>
    <x v="0"/>
    <n v="22"/>
    <x v="0"/>
    <x v="0"/>
    <x v="0"/>
    <x v="0"/>
    <n v="1"/>
    <n v="1200"/>
    <x v="0"/>
    <n v="1200"/>
  </r>
  <r>
    <s v="C002"/>
    <x v="1"/>
    <n v="25"/>
    <x v="1"/>
    <x v="1"/>
    <x v="1"/>
    <x v="1"/>
    <n v="2"/>
    <n v="1500"/>
    <x v="1"/>
    <n v="3000"/>
  </r>
  <r>
    <s v="C003"/>
    <x v="2"/>
    <n v="28"/>
    <x v="0"/>
    <x v="0"/>
    <x v="2"/>
    <x v="2"/>
    <n v="3"/>
    <n v="700"/>
    <x v="2"/>
    <n v="2100"/>
  </r>
  <r>
    <s v="C004"/>
    <x v="3"/>
    <n v="24"/>
    <x v="1"/>
    <x v="2"/>
    <x v="3"/>
    <x v="3"/>
    <n v="1"/>
    <n v="2200"/>
    <x v="0"/>
    <n v="2200"/>
  </r>
  <r>
    <s v="C005"/>
    <x v="4"/>
    <n v="31"/>
    <x v="0"/>
    <x v="3"/>
    <x v="4"/>
    <x v="0"/>
    <n v="1"/>
    <n v="1800"/>
    <x v="1"/>
    <n v="1800"/>
  </r>
  <r>
    <s v="C006"/>
    <x v="5"/>
    <n v="27"/>
    <x v="1"/>
    <x v="0"/>
    <x v="5"/>
    <x v="2"/>
    <n v="2"/>
    <n v="1400"/>
    <x v="0"/>
    <n v="2800"/>
  </r>
  <r>
    <s v="C007"/>
    <x v="6"/>
    <n v="23"/>
    <x v="0"/>
    <x v="4"/>
    <x v="6"/>
    <x v="1"/>
    <n v="1"/>
    <n v="900"/>
    <x v="2"/>
    <n v="900"/>
  </r>
  <r>
    <s v="C008"/>
    <x v="7"/>
    <n v="29"/>
    <x v="1"/>
    <x v="1"/>
    <x v="7"/>
    <x v="0"/>
    <n v="1"/>
    <n v="1600"/>
    <x v="1"/>
    <n v="1600"/>
  </r>
  <r>
    <s v="C009"/>
    <x v="8"/>
    <n v="35"/>
    <x v="0"/>
    <x v="0"/>
    <x v="3"/>
    <x v="3"/>
    <n v="2"/>
    <n v="2500"/>
    <x v="0"/>
    <n v="5000"/>
  </r>
  <r>
    <s v="C010"/>
    <x v="9"/>
    <n v="21"/>
    <x v="1"/>
    <x v="3"/>
    <x v="2"/>
    <x v="2"/>
    <n v="2"/>
    <n v="650"/>
    <x v="2"/>
    <n v="1300"/>
  </r>
  <r>
    <s v="C011"/>
    <x v="10"/>
    <n v="26"/>
    <x v="0"/>
    <x v="2"/>
    <x v="8"/>
    <x v="1"/>
    <n v="2"/>
    <n v="600"/>
    <x v="0"/>
    <n v="1200"/>
  </r>
  <r>
    <s v="C012"/>
    <x v="11"/>
    <n v="30"/>
    <x v="1"/>
    <x v="0"/>
    <x v="9"/>
    <x v="2"/>
    <n v="1"/>
    <n v="1100"/>
    <x v="1"/>
    <n v="1100"/>
  </r>
  <r>
    <s v="C013"/>
    <x v="12"/>
    <n v="33"/>
    <x v="0"/>
    <x v="1"/>
    <x v="10"/>
    <x v="0"/>
    <n v="1"/>
    <n v="1300"/>
    <x v="0"/>
    <n v="1300"/>
  </r>
  <r>
    <s v="C014"/>
    <x v="13"/>
    <n v="27"/>
    <x v="1"/>
    <x v="4"/>
    <x v="11"/>
    <x v="3"/>
    <n v="2"/>
    <n v="900"/>
    <x v="2"/>
    <n v="1800"/>
  </r>
  <r>
    <s v="C015"/>
    <x v="14"/>
    <n v="24"/>
    <x v="0"/>
    <x v="0"/>
    <x v="12"/>
    <x v="1"/>
    <n v="3"/>
    <n v="800"/>
    <x v="1"/>
    <n v="2400"/>
  </r>
  <r>
    <s v="C016"/>
    <x v="15"/>
    <n v="32"/>
    <x v="1"/>
    <x v="3"/>
    <x v="13"/>
    <x v="2"/>
    <n v="1"/>
    <n v="2000"/>
    <x v="0"/>
    <n v="2000"/>
  </r>
  <r>
    <s v="C017"/>
    <x v="16"/>
    <n v="29"/>
    <x v="0"/>
    <x v="2"/>
    <x v="14"/>
    <x v="0"/>
    <n v="2"/>
    <n v="500"/>
    <x v="2"/>
    <n v="1000"/>
  </r>
  <r>
    <s v="C018"/>
    <x v="17"/>
    <n v="23"/>
    <x v="1"/>
    <x v="0"/>
    <x v="3"/>
    <x v="3"/>
    <n v="1"/>
    <n v="2100"/>
    <x v="1"/>
    <n v="2100"/>
  </r>
  <r>
    <s v="C019"/>
    <x v="18"/>
    <n v="36"/>
    <x v="0"/>
    <x v="1"/>
    <x v="15"/>
    <x v="2"/>
    <n v="2"/>
    <n v="900"/>
    <x v="0"/>
    <n v="1800"/>
  </r>
  <r>
    <s v="C020"/>
    <x v="19"/>
    <n v="28"/>
    <x v="1"/>
    <x v="4"/>
    <x v="16"/>
    <x v="1"/>
    <n v="1"/>
    <n v="2500"/>
    <x v="1"/>
    <n v="2500"/>
  </r>
  <r>
    <s v="C021"/>
    <x v="20"/>
    <n v="25"/>
    <x v="0"/>
    <x v="3"/>
    <x v="5"/>
    <x v="2"/>
    <n v="1"/>
    <n v="1300"/>
    <x v="2"/>
    <n v="1300"/>
  </r>
  <r>
    <s v="C022"/>
    <x v="21"/>
    <n v="26"/>
    <x v="1"/>
    <x v="0"/>
    <x v="7"/>
    <x v="0"/>
    <n v="2"/>
    <n v="1700"/>
    <x v="0"/>
    <n v="3400"/>
  </r>
  <r>
    <s v="C023"/>
    <x v="22"/>
    <n v="34"/>
    <x v="0"/>
    <x v="2"/>
    <x v="1"/>
    <x v="1"/>
    <n v="1"/>
    <n v="1800"/>
    <x v="1"/>
    <n v="1800"/>
  </r>
  <r>
    <s v="C024"/>
    <x v="23"/>
    <n v="31"/>
    <x v="1"/>
    <x v="1"/>
    <x v="9"/>
    <x v="2"/>
    <n v="2"/>
    <n v="1200"/>
    <x v="0"/>
    <n v="2400"/>
  </r>
  <r>
    <s v="C025"/>
    <x v="24"/>
    <n v="27"/>
    <x v="0"/>
    <x v="0"/>
    <x v="10"/>
    <x v="0"/>
    <n v="1"/>
    <n v="1400"/>
    <x v="2"/>
    <n v="1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6B88F-7186-4581-A187-D908998D30FD}"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7:E31" firstHeaderRow="1" firstDataRow="1" firstDataCol="1"/>
  <pivotFields count="11">
    <pivotField showAll="0"/>
    <pivotField showAll="0">
      <items count="26">
        <item x="17"/>
        <item x="6"/>
        <item x="2"/>
        <item x="11"/>
        <item x="24"/>
        <item x="10"/>
        <item x="15"/>
        <item x="21"/>
        <item x="18"/>
        <item x="13"/>
        <item x="5"/>
        <item x="14"/>
        <item x="7"/>
        <item x="22"/>
        <item x="1"/>
        <item x="0"/>
        <item x="9"/>
        <item x="4"/>
        <item x="8"/>
        <item x="16"/>
        <item x="19"/>
        <item x="3"/>
        <item x="23"/>
        <item x="20"/>
        <item x="12"/>
        <item t="default"/>
      </items>
    </pivotField>
    <pivotField showAll="0"/>
    <pivotField showAll="0">
      <items count="3">
        <item x="1"/>
        <item x="0"/>
        <item t="default"/>
      </items>
    </pivotField>
    <pivotField showAll="0">
      <items count="6">
        <item x="4"/>
        <item x="1"/>
        <item x="2"/>
        <item x="0"/>
        <item x="3"/>
        <item t="default"/>
      </items>
    </pivotField>
    <pivotField showAll="0">
      <items count="18">
        <item x="10"/>
        <item x="12"/>
        <item x="7"/>
        <item x="1"/>
        <item x="5"/>
        <item x="6"/>
        <item x="9"/>
        <item x="0"/>
        <item x="8"/>
        <item x="11"/>
        <item x="13"/>
        <item x="15"/>
        <item x="3"/>
        <item x="16"/>
        <item x="2"/>
        <item x="14"/>
        <item x="4"/>
        <item t="default"/>
      </items>
    </pivotField>
    <pivotField showAll="0">
      <items count="5">
        <item x="0"/>
        <item x="2"/>
        <item x="1"/>
        <item x="3"/>
        <item t="default"/>
      </items>
    </pivotField>
    <pivotField showAll="0"/>
    <pivotField showAll="0"/>
    <pivotField axis="axisRow" showAll="0">
      <items count="4">
        <item x="1"/>
        <item x="2"/>
        <item x="0"/>
        <item t="default"/>
      </items>
    </pivotField>
    <pivotField dataField="1" showAll="0"/>
  </pivotFields>
  <rowFields count="1">
    <field x="9"/>
  </rowFields>
  <rowItems count="4">
    <i>
      <x/>
    </i>
    <i>
      <x v="1"/>
    </i>
    <i>
      <x v="2"/>
    </i>
    <i t="grand">
      <x/>
    </i>
  </rowItems>
  <colItems count="1">
    <i/>
  </colItems>
  <dataFields count="1">
    <dataField name="Sum of sum price" fld="10" baseField="6"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64CAA1-65AB-42A5-BB80-F470FFA88A05}"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1" firstHeaderRow="1" firstDataRow="1" firstDataCol="1"/>
  <pivotFields count="11">
    <pivotField showAll="0"/>
    <pivotField showAll="0">
      <items count="26">
        <item x="17"/>
        <item x="6"/>
        <item x="2"/>
        <item x="11"/>
        <item x="24"/>
        <item x="10"/>
        <item x="15"/>
        <item x="21"/>
        <item x="18"/>
        <item x="13"/>
        <item x="5"/>
        <item x="14"/>
        <item x="7"/>
        <item x="22"/>
        <item x="1"/>
        <item x="0"/>
        <item x="9"/>
        <item x="4"/>
        <item x="8"/>
        <item x="16"/>
        <item x="19"/>
        <item x="3"/>
        <item x="23"/>
        <item x="20"/>
        <item x="12"/>
        <item t="default"/>
      </items>
    </pivotField>
    <pivotField showAll="0"/>
    <pivotField axis="axisRow" showAll="0">
      <items count="3">
        <item x="1"/>
        <item x="0"/>
        <item t="default"/>
      </items>
    </pivotField>
    <pivotField showAll="0">
      <items count="6">
        <item x="4"/>
        <item x="1"/>
        <item x="2"/>
        <item x="0"/>
        <item x="3"/>
        <item t="default"/>
      </items>
    </pivotField>
    <pivotField showAll="0">
      <items count="18">
        <item x="10"/>
        <item x="12"/>
        <item x="7"/>
        <item x="1"/>
        <item x="5"/>
        <item x="6"/>
        <item x="9"/>
        <item x="0"/>
        <item x="8"/>
        <item x="11"/>
        <item x="13"/>
        <item x="15"/>
        <item x="3"/>
        <item x="16"/>
        <item x="2"/>
        <item x="14"/>
        <item x="4"/>
        <item t="default"/>
      </items>
    </pivotField>
    <pivotField showAll="0">
      <items count="5">
        <item x="0"/>
        <item x="2"/>
        <item x="1"/>
        <item x="3"/>
        <item t="default"/>
      </items>
    </pivotField>
    <pivotField showAll="0"/>
    <pivotField showAll="0"/>
    <pivotField showAll="0">
      <items count="4">
        <item x="1"/>
        <item x="2"/>
        <item x="0"/>
        <item t="default"/>
      </items>
    </pivotField>
    <pivotField dataField="1" showAll="0"/>
  </pivotFields>
  <rowFields count="1">
    <field x="3"/>
  </rowFields>
  <rowItems count="3">
    <i>
      <x/>
    </i>
    <i>
      <x v="1"/>
    </i>
    <i t="grand">
      <x/>
    </i>
  </rowItems>
  <colItems count="1">
    <i/>
  </colItems>
  <dataFields count="1">
    <dataField name="Sum of sum price" fld="10" baseField="6" baseItem="0"/>
  </dataField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8DC2E6-8FE8-4EC6-A221-6D0DAC637FB6}"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5" firstHeaderRow="1" firstDataRow="1" firstDataCol="1"/>
  <pivotFields count="11">
    <pivotField showAll="0"/>
    <pivotField showAll="0">
      <items count="26">
        <item x="17"/>
        <item x="6"/>
        <item x="2"/>
        <item x="11"/>
        <item x="24"/>
        <item x="10"/>
        <item x="15"/>
        <item x="21"/>
        <item x="18"/>
        <item x="13"/>
        <item x="5"/>
        <item x="14"/>
        <item x="7"/>
        <item x="22"/>
        <item x="1"/>
        <item x="0"/>
        <item x="9"/>
        <item x="4"/>
        <item x="8"/>
        <item x="16"/>
        <item x="19"/>
        <item x="3"/>
        <item x="23"/>
        <item x="20"/>
        <item x="12"/>
        <item t="default"/>
      </items>
    </pivotField>
    <pivotField showAll="0"/>
    <pivotField showAll="0">
      <items count="3">
        <item x="1"/>
        <item x="0"/>
        <item t="default"/>
      </items>
    </pivotField>
    <pivotField axis="axisRow" showAll="0">
      <items count="6">
        <item x="4"/>
        <item x="1"/>
        <item x="2"/>
        <item x="0"/>
        <item x="3"/>
        <item t="default"/>
      </items>
    </pivotField>
    <pivotField showAll="0">
      <items count="18">
        <item x="10"/>
        <item x="12"/>
        <item x="7"/>
        <item x="1"/>
        <item x="5"/>
        <item x="6"/>
        <item x="9"/>
        <item x="0"/>
        <item x="8"/>
        <item x="11"/>
        <item x="13"/>
        <item x="15"/>
        <item x="3"/>
        <item x="16"/>
        <item x="2"/>
        <item x="14"/>
        <item x="4"/>
        <item t="default"/>
      </items>
    </pivotField>
    <pivotField showAll="0">
      <items count="5">
        <item x="0"/>
        <item x="2"/>
        <item x="1"/>
        <item x="3"/>
        <item t="default"/>
      </items>
    </pivotField>
    <pivotField showAll="0"/>
    <pivotField showAll="0"/>
    <pivotField showAll="0">
      <items count="4">
        <item x="1"/>
        <item x="2"/>
        <item x="0"/>
        <item t="default"/>
      </items>
    </pivotField>
    <pivotField dataField="1" showAll="0"/>
  </pivotFields>
  <rowFields count="1">
    <field x="4"/>
  </rowFields>
  <rowItems count="6">
    <i>
      <x/>
    </i>
    <i>
      <x v="1"/>
    </i>
    <i>
      <x v="2"/>
    </i>
    <i>
      <x v="3"/>
    </i>
    <i>
      <x v="4"/>
    </i>
    <i t="grand">
      <x/>
    </i>
  </rowItems>
  <colItems count="1">
    <i/>
  </colItems>
  <dataFields count="1">
    <dataField name="Sum of sum price" fld="10" baseField="6" baseItem="0"/>
  </dataFields>
  <chartFormats count="5">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EDED7-EF01-434F-8B5A-2BB89F077B3A}"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C16" firstHeaderRow="0" firstDataRow="1" firstDataCol="1"/>
  <pivotFields count="11">
    <pivotField showAll="0"/>
    <pivotField showAll="0">
      <items count="26">
        <item x="17"/>
        <item x="6"/>
        <item x="2"/>
        <item x="11"/>
        <item x="24"/>
        <item x="10"/>
        <item x="15"/>
        <item x="21"/>
        <item x="18"/>
        <item x="13"/>
        <item x="5"/>
        <item x="14"/>
        <item x="7"/>
        <item x="22"/>
        <item x="1"/>
        <item x="0"/>
        <item x="9"/>
        <item x="4"/>
        <item x="8"/>
        <item x="16"/>
        <item x="19"/>
        <item x="3"/>
        <item x="23"/>
        <item x="20"/>
        <item x="12"/>
        <item t="default"/>
      </items>
    </pivotField>
    <pivotField showAll="0"/>
    <pivotField showAll="0">
      <items count="3">
        <item x="1"/>
        <item x="0"/>
        <item t="default"/>
      </items>
    </pivotField>
    <pivotField showAll="0">
      <items count="6">
        <item x="4"/>
        <item x="1"/>
        <item x="2"/>
        <item x="0"/>
        <item x="3"/>
        <item t="default"/>
      </items>
    </pivotField>
    <pivotField dataField="1" showAll="0">
      <items count="18">
        <item x="10"/>
        <item x="12"/>
        <item x="7"/>
        <item x="1"/>
        <item x="5"/>
        <item x="6"/>
        <item x="9"/>
        <item x="0"/>
        <item x="8"/>
        <item x="11"/>
        <item x="13"/>
        <item x="15"/>
        <item x="3"/>
        <item x="16"/>
        <item x="2"/>
        <item x="14"/>
        <item x="4"/>
        <item t="default"/>
      </items>
    </pivotField>
    <pivotField axis="axisRow" showAll="0">
      <items count="5">
        <item x="0"/>
        <item x="2"/>
        <item x="1"/>
        <item x="3"/>
        <item t="default"/>
      </items>
    </pivotField>
    <pivotField showAll="0"/>
    <pivotField showAll="0"/>
    <pivotField showAll="0">
      <items count="4">
        <item x="1"/>
        <item x="2"/>
        <item x="0"/>
        <item t="default"/>
      </items>
    </pivotField>
    <pivotField dataField="1" showAll="0"/>
  </pivotFields>
  <rowFields count="1">
    <field x="6"/>
  </rowFields>
  <rowItems count="5">
    <i>
      <x/>
    </i>
    <i>
      <x v="1"/>
    </i>
    <i>
      <x v="2"/>
    </i>
    <i>
      <x v="3"/>
    </i>
    <i t="grand">
      <x/>
    </i>
  </rowItems>
  <colFields count="1">
    <field x="-2"/>
  </colFields>
  <colItems count="2">
    <i>
      <x/>
    </i>
    <i i="1">
      <x v="1"/>
    </i>
  </colItems>
  <dataFields count="2">
    <dataField name="Sum of sum price" fld="10" baseField="6" baseItem="0"/>
    <dataField name="Count of Product"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25611D-93A4-4864-925B-E5F4D9C85F83}" sourceName="Gender">
  <pivotTables>
    <pivotTable tabId="4" name="PivotTable8"/>
    <pivotTable tabId="4" name="PivotTable10"/>
    <pivotTable tabId="4" name="PivotTable11"/>
    <pivotTable tabId="4" name="PivotTable9"/>
  </pivotTables>
  <data>
    <tabular pivotCacheId="17410613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37D5B2-4CEB-4869-BF10-97DF519B8EBC}" sourceName="City">
  <pivotTables>
    <pivotTable tabId="4" name="PivotTable8"/>
    <pivotTable tabId="4" name="PivotTable10"/>
    <pivotTable tabId="4" name="PivotTable11"/>
    <pivotTable tabId="4" name="PivotTable9"/>
  </pivotTables>
  <data>
    <tabular pivotCacheId="1741061369">
      <items count="5">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D52A37F-82FC-4650-8C08-B1D33601EC53}" sourceName="Product">
  <pivotTables>
    <pivotTable tabId="4" name="PivotTable8"/>
    <pivotTable tabId="4" name="PivotTable10"/>
    <pivotTable tabId="4" name="PivotTable11"/>
    <pivotTable tabId="4" name="PivotTable9"/>
  </pivotTables>
  <data>
    <tabular pivotCacheId="1741061369">
      <items count="17">
        <i x="10" s="1"/>
        <i x="12" s="1"/>
        <i x="7" s="1"/>
        <i x="1" s="1"/>
        <i x="5" s="1"/>
        <i x="6" s="1"/>
        <i x="9" s="1"/>
        <i x="0" s="1"/>
        <i x="8" s="1"/>
        <i x="11" s="1"/>
        <i x="13" s="1"/>
        <i x="15" s="1"/>
        <i x="3" s="1"/>
        <i x="16" s="1"/>
        <i x="2" s="1"/>
        <i x="14"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7D4932-92FF-49B2-B8B7-EF5040B30BD8}" sourceName="Category">
  <pivotTables>
    <pivotTable tabId="4" name="PivotTable8"/>
    <pivotTable tabId="4" name="PivotTable10"/>
    <pivotTable tabId="4" name="PivotTable11"/>
    <pivotTable tabId="4" name="PivotTable9"/>
  </pivotTables>
  <data>
    <tabular pivotCacheId="1741061369">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6E49003-483A-469F-9D82-F285FC5E1AE5}" sourceName="Payment_Mode">
  <pivotTables>
    <pivotTable tabId="4" name="PivotTable8"/>
    <pivotTable tabId="4" name="PivotTable10"/>
    <pivotTable tabId="4" name="PivotTable11"/>
    <pivotTable tabId="4" name="PivotTable9"/>
  </pivotTables>
  <data>
    <tabular pivotCacheId="174106136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915CD61-0748-4F29-993F-A6FBF4FAAB00}" cache="Slicer_Gender" caption="Gender" rowHeight="234950"/>
  <slicer name="City" xr10:uid="{1636AE03-B94B-4041-9E80-F3E108535D7A}" cache="Slicer_City" caption="City" columnCount="2" rowHeight="234950"/>
  <slicer name="Product" xr10:uid="{94B7E69F-90A4-4205-88B5-5463AE29A1FA}" cache="Slicer_Product" caption="Product" rowHeight="234950"/>
  <slicer name="Category" xr10:uid="{7915B459-04B7-4EF6-953E-FB12BEAB1DF9}" cache="Slicer_Category" caption="Category" rowHeight="234950"/>
  <slicer name="Payment_Mode" xr10:uid="{05D1DFEC-9CBC-4BD0-A201-76FF57A05C16}" cache="Slicer_Payment_Mode" caption="Payment_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4CC1A69-1DAA-4CF1-BB83-4B2A0AD6F701}" cache="Slicer_Gender" caption="Gender" style="SlicerStyleDark1" rowHeight="234950"/>
  <slicer name="City 1" xr10:uid="{2CD60BDA-661F-4F0A-A06B-14189421A712}" cache="Slicer_City" caption="City" columnCount="2" style="SlicerStyleDark1" rowHeight="234950"/>
  <slicer name="Product 1" xr10:uid="{1AC6ADA1-38F5-4542-A277-90D82983DCEC}" cache="Slicer_Product" caption="Product" style="SlicerStyleDark1" rowHeight="234950"/>
  <slicer name="Category 1" xr10:uid="{581E1581-D7CE-42B4-A58D-A9345D23452B}" cache="Slicer_Category" caption="Category" style="SlicerStyleDark1" rowHeight="234950"/>
  <slicer name="Payment_Mode 1" xr10:uid="{989A6560-9997-4A9B-80C0-B59472A9595A}" cache="Slicer_Payment_Mode" caption="Payment_Mode"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9DEC-B9D6-497A-8F0E-E203F01025D1}">
  <dimension ref="A10:G31"/>
  <sheetViews>
    <sheetView topLeftCell="E15" workbookViewId="0">
      <selection activeCell="O13" sqref="O13"/>
    </sheetView>
  </sheetViews>
  <sheetFormatPr defaultRowHeight="14.4" x14ac:dyDescent="0.3"/>
  <cols>
    <col min="1" max="1" width="12.5546875" bestFit="1" customWidth="1"/>
    <col min="2" max="2" width="15.6640625" bestFit="1" customWidth="1"/>
    <col min="3" max="3" width="15.5546875" bestFit="1" customWidth="1"/>
    <col min="4" max="4" width="12.5546875" bestFit="1" customWidth="1"/>
    <col min="5" max="5" width="15.6640625" bestFit="1" customWidth="1"/>
    <col min="6" max="6" width="5.5546875" bestFit="1" customWidth="1"/>
    <col min="7" max="7" width="9.109375" bestFit="1" customWidth="1"/>
    <col min="8" max="8" width="5" bestFit="1" customWidth="1"/>
    <col min="9" max="9" width="10.44140625" bestFit="1" customWidth="1"/>
    <col min="10" max="10" width="6.77734375" bestFit="1" customWidth="1"/>
    <col min="11" max="11" width="7.44140625" bestFit="1" customWidth="1"/>
    <col min="12" max="12" width="5.6640625" bestFit="1" customWidth="1"/>
    <col min="13" max="13" width="4.88671875" bestFit="1" customWidth="1"/>
    <col min="14" max="14" width="6" bestFit="1" customWidth="1"/>
    <col min="15" max="15" width="11.109375" bestFit="1" customWidth="1"/>
    <col min="16" max="16" width="6.5546875" bestFit="1" customWidth="1"/>
    <col min="17" max="17" width="6.33203125" bestFit="1" customWidth="1"/>
    <col min="18" max="18" width="6.44140625" bestFit="1" customWidth="1"/>
    <col min="19" max="19" width="10.77734375" bestFit="1" customWidth="1"/>
  </cols>
  <sheetData>
    <row r="10" spans="1:7" x14ac:dyDescent="0.3">
      <c r="A10" s="8" t="s">
        <v>96</v>
      </c>
      <c r="B10" s="8"/>
      <c r="C10" s="8"/>
      <c r="E10" s="9" t="s">
        <v>100</v>
      </c>
      <c r="F10" s="9" t="s">
        <v>101</v>
      </c>
      <c r="G10" s="9" t="s">
        <v>102</v>
      </c>
    </row>
    <row r="11" spans="1:7" x14ac:dyDescent="0.3">
      <c r="A11" s="5" t="s">
        <v>91</v>
      </c>
      <c r="B11" t="s">
        <v>95</v>
      </c>
      <c r="C11" t="s">
        <v>93</v>
      </c>
      <c r="E11">
        <f>Sheet1!M2</f>
        <v>900</v>
      </c>
      <c r="F11">
        <f>Sheet1!N2</f>
        <v>5000</v>
      </c>
      <c r="G11">
        <f>Sheet1!O2</f>
        <v>1976</v>
      </c>
    </row>
    <row r="12" spans="1:7" x14ac:dyDescent="0.3">
      <c r="A12" s="6" t="s">
        <v>15</v>
      </c>
      <c r="B12" s="7">
        <v>11700</v>
      </c>
      <c r="C12" s="7">
        <v>7</v>
      </c>
    </row>
    <row r="13" spans="1:7" x14ac:dyDescent="0.3">
      <c r="A13" s="6" t="s">
        <v>27</v>
      </c>
      <c r="B13" s="7">
        <v>14800</v>
      </c>
      <c r="C13" s="7">
        <v>8</v>
      </c>
    </row>
    <row r="14" spans="1:7" x14ac:dyDescent="0.3">
      <c r="A14" s="6" t="s">
        <v>22</v>
      </c>
      <c r="B14" s="7">
        <v>11800</v>
      </c>
      <c r="C14" s="7">
        <v>6</v>
      </c>
      <c r="E14" t="s">
        <v>103</v>
      </c>
    </row>
    <row r="15" spans="1:7" x14ac:dyDescent="0.3">
      <c r="A15" s="6" t="s">
        <v>33</v>
      </c>
      <c r="B15" s="7">
        <v>11100</v>
      </c>
      <c r="C15" s="7">
        <v>4</v>
      </c>
      <c r="E15">
        <f>Sheet1!M4</f>
        <v>49400</v>
      </c>
    </row>
    <row r="16" spans="1:7" x14ac:dyDescent="0.3">
      <c r="A16" s="6" t="s">
        <v>92</v>
      </c>
      <c r="B16" s="7">
        <v>49400</v>
      </c>
      <c r="C16" s="7">
        <v>25</v>
      </c>
    </row>
    <row r="18" spans="1:5" x14ac:dyDescent="0.3">
      <c r="A18" s="8" t="s">
        <v>97</v>
      </c>
      <c r="B18" s="8"/>
    </row>
    <row r="19" spans="1:5" x14ac:dyDescent="0.3">
      <c r="A19" s="5" t="s">
        <v>91</v>
      </c>
      <c r="B19" t="s">
        <v>95</v>
      </c>
    </row>
    <row r="20" spans="1:5" x14ac:dyDescent="0.3">
      <c r="A20" s="6" t="s">
        <v>43</v>
      </c>
      <c r="B20" s="7">
        <v>5200</v>
      </c>
    </row>
    <row r="21" spans="1:5" x14ac:dyDescent="0.3">
      <c r="A21" s="6" t="s">
        <v>20</v>
      </c>
      <c r="B21" s="7">
        <v>10100</v>
      </c>
    </row>
    <row r="22" spans="1:5" x14ac:dyDescent="0.3">
      <c r="A22" s="6" t="s">
        <v>31</v>
      </c>
      <c r="B22" s="7">
        <v>6200</v>
      </c>
    </row>
    <row r="23" spans="1:5" x14ac:dyDescent="0.3">
      <c r="A23" s="6" t="s">
        <v>13</v>
      </c>
      <c r="B23" s="7">
        <v>21500</v>
      </c>
    </row>
    <row r="24" spans="1:5" x14ac:dyDescent="0.3">
      <c r="A24" s="6" t="s">
        <v>36</v>
      </c>
      <c r="B24" s="7">
        <v>6400</v>
      </c>
    </row>
    <row r="25" spans="1:5" x14ac:dyDescent="0.3">
      <c r="A25" s="6" t="s">
        <v>92</v>
      </c>
      <c r="B25" s="7">
        <v>49400</v>
      </c>
    </row>
    <row r="26" spans="1:5" x14ac:dyDescent="0.3">
      <c r="D26" s="8" t="s">
        <v>99</v>
      </c>
      <c r="E26" s="8"/>
    </row>
    <row r="27" spans="1:5" x14ac:dyDescent="0.3">
      <c r="A27" s="8" t="s">
        <v>98</v>
      </c>
      <c r="B27" s="8"/>
      <c r="D27" s="5" t="s">
        <v>91</v>
      </c>
      <c r="E27" t="s">
        <v>95</v>
      </c>
    </row>
    <row r="28" spans="1:5" x14ac:dyDescent="0.3">
      <c r="A28" s="5" t="s">
        <v>91</v>
      </c>
      <c r="B28" t="s">
        <v>95</v>
      </c>
      <c r="D28" s="6" t="s">
        <v>23</v>
      </c>
      <c r="E28" s="7">
        <v>16300</v>
      </c>
    </row>
    <row r="29" spans="1:5" x14ac:dyDescent="0.3">
      <c r="A29" s="6" t="s">
        <v>19</v>
      </c>
      <c r="B29" s="7">
        <v>26200</v>
      </c>
      <c r="D29" s="6" t="s">
        <v>28</v>
      </c>
      <c r="E29" s="7">
        <v>9800</v>
      </c>
    </row>
    <row r="30" spans="1:5" x14ac:dyDescent="0.3">
      <c r="A30" s="6" t="s">
        <v>12</v>
      </c>
      <c r="B30" s="7">
        <v>23200</v>
      </c>
      <c r="D30" s="6" t="s">
        <v>16</v>
      </c>
      <c r="E30" s="7">
        <v>23300</v>
      </c>
    </row>
    <row r="31" spans="1:5" x14ac:dyDescent="0.3">
      <c r="A31" s="6" t="s">
        <v>92</v>
      </c>
      <c r="B31" s="7">
        <v>49400</v>
      </c>
      <c r="D31" s="6" t="s">
        <v>92</v>
      </c>
      <c r="E31" s="7">
        <v>49400</v>
      </c>
    </row>
  </sheetData>
  <mergeCells count="4">
    <mergeCell ref="A10:C10"/>
    <mergeCell ref="A18:B18"/>
    <mergeCell ref="A27:B27"/>
    <mergeCell ref="D26:E26"/>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84B4-FAE7-4516-A120-A90D887FE05D}">
  <dimension ref="A1:O26"/>
  <sheetViews>
    <sheetView workbookViewId="0">
      <selection activeCell="N3" sqref="N3"/>
    </sheetView>
  </sheetViews>
  <sheetFormatPr defaultRowHeight="14.4" x14ac:dyDescent="0.3"/>
  <cols>
    <col min="1" max="1" width="12.44140625" bestFit="1" customWidth="1"/>
    <col min="2" max="2" width="16" bestFit="1" customWidth="1"/>
    <col min="3" max="3" width="4.44140625" bestFit="1" customWidth="1"/>
    <col min="4" max="4" width="7.6640625" bestFit="1" customWidth="1"/>
    <col min="5" max="5" width="9" bestFit="1" customWidth="1"/>
    <col min="6" max="6" width="12.109375" bestFit="1" customWidth="1"/>
    <col min="7" max="7" width="11.33203125" bestFit="1" customWidth="1"/>
    <col min="8" max="8" width="8.6640625" bestFit="1" customWidth="1"/>
    <col min="9" max="9" width="5.44140625" bestFit="1" customWidth="1"/>
    <col min="10" max="10" width="15.33203125" bestFit="1" customWidth="1"/>
    <col min="11" max="11" width="13.5546875" customWidth="1"/>
  </cols>
  <sheetData>
    <row r="1" spans="1:15" x14ac:dyDescent="0.3">
      <c r="A1" s="1" t="s">
        <v>0</v>
      </c>
      <c r="B1" s="1" t="s">
        <v>1</v>
      </c>
      <c r="C1" s="3" t="s">
        <v>2</v>
      </c>
      <c r="D1" s="1" t="s">
        <v>3</v>
      </c>
      <c r="E1" s="1" t="s">
        <v>4</v>
      </c>
      <c r="F1" s="1" t="s">
        <v>5</v>
      </c>
      <c r="G1" s="1" t="s">
        <v>6</v>
      </c>
      <c r="H1" s="3" t="s">
        <v>7</v>
      </c>
      <c r="I1" s="3" t="s">
        <v>8</v>
      </c>
      <c r="J1" s="1" t="s">
        <v>9</v>
      </c>
      <c r="K1" s="1" t="s">
        <v>94</v>
      </c>
      <c r="M1" t="s">
        <v>100</v>
      </c>
      <c r="N1" t="s">
        <v>101</v>
      </c>
      <c r="O1" t="s">
        <v>102</v>
      </c>
    </row>
    <row r="2" spans="1:15" x14ac:dyDescent="0.3">
      <c r="A2" s="4" t="s">
        <v>10</v>
      </c>
      <c r="B2" s="4" t="s">
        <v>11</v>
      </c>
      <c r="C2" s="2">
        <v>22</v>
      </c>
      <c r="D2" s="4" t="s">
        <v>12</v>
      </c>
      <c r="E2" s="4" t="s">
        <v>13</v>
      </c>
      <c r="F2" s="4" t="s">
        <v>14</v>
      </c>
      <c r="G2" s="4" t="s">
        <v>15</v>
      </c>
      <c r="H2" s="2">
        <v>1</v>
      </c>
      <c r="I2" s="2">
        <v>1200</v>
      </c>
      <c r="J2" s="4" t="s">
        <v>16</v>
      </c>
      <c r="K2">
        <f>(I2*H2)</f>
        <v>1200</v>
      </c>
      <c r="M2">
        <f>MIN(K2:K26)</f>
        <v>900</v>
      </c>
      <c r="N2">
        <f>MAX(K2:K25)</f>
        <v>5000</v>
      </c>
      <c r="O2">
        <f>AVERAGE(K2:K26)</f>
        <v>1976</v>
      </c>
    </row>
    <row r="3" spans="1:15" x14ac:dyDescent="0.3">
      <c r="A3" s="4" t="s">
        <v>17</v>
      </c>
      <c r="B3" s="4" t="s">
        <v>18</v>
      </c>
      <c r="C3" s="2">
        <v>25</v>
      </c>
      <c r="D3" s="4" t="s">
        <v>19</v>
      </c>
      <c r="E3" s="4" t="s">
        <v>20</v>
      </c>
      <c r="F3" s="4" t="s">
        <v>21</v>
      </c>
      <c r="G3" s="4" t="s">
        <v>22</v>
      </c>
      <c r="H3" s="2">
        <v>2</v>
      </c>
      <c r="I3" s="2">
        <v>1500</v>
      </c>
      <c r="J3" s="4" t="s">
        <v>23</v>
      </c>
      <c r="K3">
        <f t="shared" ref="K3:K26" si="0">(I3*H3)</f>
        <v>3000</v>
      </c>
      <c r="M3" t="s">
        <v>103</v>
      </c>
    </row>
    <row r="4" spans="1:15" x14ac:dyDescent="0.3">
      <c r="A4" s="4" t="s">
        <v>24</v>
      </c>
      <c r="B4" s="4" t="s">
        <v>25</v>
      </c>
      <c r="C4" s="2">
        <v>28</v>
      </c>
      <c r="D4" s="4" t="s">
        <v>12</v>
      </c>
      <c r="E4" s="4" t="s">
        <v>13</v>
      </c>
      <c r="F4" s="4" t="s">
        <v>26</v>
      </c>
      <c r="G4" s="4" t="s">
        <v>27</v>
      </c>
      <c r="H4" s="2">
        <v>3</v>
      </c>
      <c r="I4" s="2">
        <v>700</v>
      </c>
      <c r="J4" s="4" t="s">
        <v>28</v>
      </c>
      <c r="K4">
        <f t="shared" si="0"/>
        <v>2100</v>
      </c>
      <c r="M4">
        <f>SUM(K2:K26)</f>
        <v>49400</v>
      </c>
    </row>
    <row r="5" spans="1:15" x14ac:dyDescent="0.3">
      <c r="A5" s="4" t="s">
        <v>29</v>
      </c>
      <c r="B5" s="4" t="s">
        <v>30</v>
      </c>
      <c r="C5" s="2">
        <v>24</v>
      </c>
      <c r="D5" s="4" t="s">
        <v>19</v>
      </c>
      <c r="E5" s="4" t="s">
        <v>31</v>
      </c>
      <c r="F5" s="4" t="s">
        <v>32</v>
      </c>
      <c r="G5" s="4" t="s">
        <v>33</v>
      </c>
      <c r="H5" s="2">
        <v>1</v>
      </c>
      <c r="I5" s="2">
        <v>2200</v>
      </c>
      <c r="J5" s="4" t="s">
        <v>16</v>
      </c>
      <c r="K5">
        <f t="shared" si="0"/>
        <v>2200</v>
      </c>
    </row>
    <row r="6" spans="1:15" x14ac:dyDescent="0.3">
      <c r="A6" s="4" t="s">
        <v>34</v>
      </c>
      <c r="B6" s="4" t="s">
        <v>35</v>
      </c>
      <c r="C6" s="2">
        <v>31</v>
      </c>
      <c r="D6" s="4" t="s">
        <v>12</v>
      </c>
      <c r="E6" s="4" t="s">
        <v>36</v>
      </c>
      <c r="F6" s="4" t="s">
        <v>37</v>
      </c>
      <c r="G6" s="4" t="s">
        <v>15</v>
      </c>
      <c r="H6" s="2">
        <v>1</v>
      </c>
      <c r="I6" s="2">
        <v>1800</v>
      </c>
      <c r="J6" s="4" t="s">
        <v>23</v>
      </c>
      <c r="K6">
        <f t="shared" si="0"/>
        <v>1800</v>
      </c>
    </row>
    <row r="7" spans="1:15" x14ac:dyDescent="0.3">
      <c r="A7" s="4" t="s">
        <v>38</v>
      </c>
      <c r="B7" s="4" t="s">
        <v>39</v>
      </c>
      <c r="C7" s="2">
        <v>27</v>
      </c>
      <c r="D7" s="4" t="s">
        <v>19</v>
      </c>
      <c r="E7" s="4" t="s">
        <v>13</v>
      </c>
      <c r="F7" s="4" t="s">
        <v>40</v>
      </c>
      <c r="G7" s="4" t="s">
        <v>27</v>
      </c>
      <c r="H7" s="2">
        <v>2</v>
      </c>
      <c r="I7" s="2">
        <v>1400</v>
      </c>
      <c r="J7" s="4" t="s">
        <v>16</v>
      </c>
      <c r="K7">
        <f t="shared" si="0"/>
        <v>2800</v>
      </c>
    </row>
    <row r="8" spans="1:15" x14ac:dyDescent="0.3">
      <c r="A8" s="4" t="s">
        <v>41</v>
      </c>
      <c r="B8" s="4" t="s">
        <v>42</v>
      </c>
      <c r="C8" s="2">
        <v>23</v>
      </c>
      <c r="D8" s="4" t="s">
        <v>12</v>
      </c>
      <c r="E8" s="4" t="s">
        <v>43</v>
      </c>
      <c r="F8" s="4" t="s">
        <v>44</v>
      </c>
      <c r="G8" s="4" t="s">
        <v>22</v>
      </c>
      <c r="H8" s="2">
        <v>1</v>
      </c>
      <c r="I8" s="2">
        <v>900</v>
      </c>
      <c r="J8" s="4" t="s">
        <v>28</v>
      </c>
      <c r="K8">
        <f t="shared" si="0"/>
        <v>900</v>
      </c>
    </row>
    <row r="9" spans="1:15" x14ac:dyDescent="0.3">
      <c r="A9" s="4" t="s">
        <v>45</v>
      </c>
      <c r="B9" s="4" t="s">
        <v>46</v>
      </c>
      <c r="C9" s="2">
        <v>29</v>
      </c>
      <c r="D9" s="4" t="s">
        <v>19</v>
      </c>
      <c r="E9" s="4" t="s">
        <v>20</v>
      </c>
      <c r="F9" s="4" t="s">
        <v>47</v>
      </c>
      <c r="G9" s="4" t="s">
        <v>15</v>
      </c>
      <c r="H9" s="2">
        <v>1</v>
      </c>
      <c r="I9" s="2">
        <v>1600</v>
      </c>
      <c r="J9" s="4" t="s">
        <v>23</v>
      </c>
      <c r="K9">
        <f t="shared" si="0"/>
        <v>1600</v>
      </c>
    </row>
    <row r="10" spans="1:15" x14ac:dyDescent="0.3">
      <c r="A10" s="4" t="s">
        <v>48</v>
      </c>
      <c r="B10" s="4" t="s">
        <v>49</v>
      </c>
      <c r="C10" s="2">
        <v>35</v>
      </c>
      <c r="D10" s="4" t="s">
        <v>12</v>
      </c>
      <c r="E10" s="4" t="s">
        <v>13</v>
      </c>
      <c r="F10" s="4" t="s">
        <v>32</v>
      </c>
      <c r="G10" s="4" t="s">
        <v>33</v>
      </c>
      <c r="H10" s="2">
        <v>2</v>
      </c>
      <c r="I10" s="2">
        <v>2500</v>
      </c>
      <c r="J10" s="4" t="s">
        <v>16</v>
      </c>
      <c r="K10">
        <f t="shared" si="0"/>
        <v>5000</v>
      </c>
    </row>
    <row r="11" spans="1:15" x14ac:dyDescent="0.3">
      <c r="A11" s="4" t="s">
        <v>50</v>
      </c>
      <c r="B11" s="4" t="s">
        <v>51</v>
      </c>
      <c r="C11" s="2">
        <v>21</v>
      </c>
      <c r="D11" s="4" t="s">
        <v>19</v>
      </c>
      <c r="E11" s="4" t="s">
        <v>36</v>
      </c>
      <c r="F11" s="4" t="s">
        <v>26</v>
      </c>
      <c r="G11" s="4" t="s">
        <v>27</v>
      </c>
      <c r="H11" s="2">
        <v>2</v>
      </c>
      <c r="I11" s="2">
        <v>650</v>
      </c>
      <c r="J11" s="4" t="s">
        <v>28</v>
      </c>
      <c r="K11">
        <f t="shared" si="0"/>
        <v>1300</v>
      </c>
    </row>
    <row r="12" spans="1:15" x14ac:dyDescent="0.3">
      <c r="A12" s="4" t="s">
        <v>52</v>
      </c>
      <c r="B12" s="4" t="s">
        <v>53</v>
      </c>
      <c r="C12" s="2">
        <v>26</v>
      </c>
      <c r="D12" s="4" t="s">
        <v>12</v>
      </c>
      <c r="E12" s="4" t="s">
        <v>31</v>
      </c>
      <c r="F12" s="4" t="s">
        <v>54</v>
      </c>
      <c r="G12" s="4" t="s">
        <v>22</v>
      </c>
      <c r="H12" s="2">
        <v>2</v>
      </c>
      <c r="I12" s="2">
        <v>600</v>
      </c>
      <c r="J12" s="4" t="s">
        <v>16</v>
      </c>
      <c r="K12">
        <f t="shared" si="0"/>
        <v>1200</v>
      </c>
    </row>
    <row r="13" spans="1:15" x14ac:dyDescent="0.3">
      <c r="A13" s="4" t="s">
        <v>55</v>
      </c>
      <c r="B13" s="4" t="s">
        <v>56</v>
      </c>
      <c r="C13" s="2">
        <v>30</v>
      </c>
      <c r="D13" s="4" t="s">
        <v>19</v>
      </c>
      <c r="E13" s="4" t="s">
        <v>13</v>
      </c>
      <c r="F13" s="4" t="s">
        <v>57</v>
      </c>
      <c r="G13" s="4" t="s">
        <v>27</v>
      </c>
      <c r="H13" s="2">
        <v>1</v>
      </c>
      <c r="I13" s="2">
        <v>1100</v>
      </c>
      <c r="J13" s="4" t="s">
        <v>23</v>
      </c>
      <c r="K13">
        <f t="shared" si="0"/>
        <v>1100</v>
      </c>
    </row>
    <row r="14" spans="1:15" x14ac:dyDescent="0.3">
      <c r="A14" s="4" t="s">
        <v>58</v>
      </c>
      <c r="B14" s="4" t="s">
        <v>59</v>
      </c>
      <c r="C14" s="2">
        <v>33</v>
      </c>
      <c r="D14" s="4" t="s">
        <v>12</v>
      </c>
      <c r="E14" s="4" t="s">
        <v>20</v>
      </c>
      <c r="F14" s="4" t="s">
        <v>60</v>
      </c>
      <c r="G14" s="4" t="s">
        <v>15</v>
      </c>
      <c r="H14" s="2">
        <v>1</v>
      </c>
      <c r="I14" s="2">
        <v>1300</v>
      </c>
      <c r="J14" s="4" t="s">
        <v>16</v>
      </c>
      <c r="K14">
        <f t="shared" si="0"/>
        <v>1300</v>
      </c>
    </row>
    <row r="15" spans="1:15" x14ac:dyDescent="0.3">
      <c r="A15" s="4" t="s">
        <v>61</v>
      </c>
      <c r="B15" s="4" t="s">
        <v>62</v>
      </c>
      <c r="C15" s="2">
        <v>27</v>
      </c>
      <c r="D15" s="4" t="s">
        <v>19</v>
      </c>
      <c r="E15" s="4" t="s">
        <v>43</v>
      </c>
      <c r="F15" s="4" t="s">
        <v>63</v>
      </c>
      <c r="G15" s="4" t="s">
        <v>33</v>
      </c>
      <c r="H15" s="2">
        <v>2</v>
      </c>
      <c r="I15" s="2">
        <v>900</v>
      </c>
      <c r="J15" s="4" t="s">
        <v>28</v>
      </c>
      <c r="K15">
        <f t="shared" si="0"/>
        <v>1800</v>
      </c>
    </row>
    <row r="16" spans="1:15" x14ac:dyDescent="0.3">
      <c r="A16" s="4" t="s">
        <v>64</v>
      </c>
      <c r="B16" s="4" t="s">
        <v>65</v>
      </c>
      <c r="C16" s="2">
        <v>24</v>
      </c>
      <c r="D16" s="4" t="s">
        <v>12</v>
      </c>
      <c r="E16" s="4" t="s">
        <v>13</v>
      </c>
      <c r="F16" s="4" t="s">
        <v>66</v>
      </c>
      <c r="G16" s="4" t="s">
        <v>22</v>
      </c>
      <c r="H16" s="2">
        <v>3</v>
      </c>
      <c r="I16" s="2">
        <v>800</v>
      </c>
      <c r="J16" s="4" t="s">
        <v>23</v>
      </c>
      <c r="K16">
        <f t="shared" si="0"/>
        <v>2400</v>
      </c>
    </row>
    <row r="17" spans="1:11" x14ac:dyDescent="0.3">
      <c r="A17" s="4" t="s">
        <v>67</v>
      </c>
      <c r="B17" s="4" t="s">
        <v>68</v>
      </c>
      <c r="C17" s="2">
        <v>32</v>
      </c>
      <c r="D17" s="4" t="s">
        <v>19</v>
      </c>
      <c r="E17" s="4" t="s">
        <v>36</v>
      </c>
      <c r="F17" s="4" t="s">
        <v>69</v>
      </c>
      <c r="G17" s="4" t="s">
        <v>27</v>
      </c>
      <c r="H17" s="2">
        <v>1</v>
      </c>
      <c r="I17" s="2">
        <v>2000</v>
      </c>
      <c r="J17" s="4" t="s">
        <v>16</v>
      </c>
      <c r="K17">
        <f t="shared" si="0"/>
        <v>2000</v>
      </c>
    </row>
    <row r="18" spans="1:11" x14ac:dyDescent="0.3">
      <c r="A18" s="4" t="s">
        <v>70</v>
      </c>
      <c r="B18" s="4" t="s">
        <v>71</v>
      </c>
      <c r="C18" s="2">
        <v>29</v>
      </c>
      <c r="D18" s="4" t="s">
        <v>12</v>
      </c>
      <c r="E18" s="4" t="s">
        <v>31</v>
      </c>
      <c r="F18" s="4" t="s">
        <v>72</v>
      </c>
      <c r="G18" s="4" t="s">
        <v>15</v>
      </c>
      <c r="H18" s="2">
        <v>2</v>
      </c>
      <c r="I18" s="2">
        <v>500</v>
      </c>
      <c r="J18" s="4" t="s">
        <v>28</v>
      </c>
      <c r="K18">
        <f t="shared" si="0"/>
        <v>1000</v>
      </c>
    </row>
    <row r="19" spans="1:11" x14ac:dyDescent="0.3">
      <c r="A19" s="4" t="s">
        <v>73</v>
      </c>
      <c r="B19" s="4" t="s">
        <v>74</v>
      </c>
      <c r="C19" s="2">
        <v>23</v>
      </c>
      <c r="D19" s="4" t="s">
        <v>19</v>
      </c>
      <c r="E19" s="4" t="s">
        <v>13</v>
      </c>
      <c r="F19" s="4" t="s">
        <v>32</v>
      </c>
      <c r="G19" s="4" t="s">
        <v>33</v>
      </c>
      <c r="H19" s="2">
        <v>1</v>
      </c>
      <c r="I19" s="2">
        <v>2100</v>
      </c>
      <c r="J19" s="4" t="s">
        <v>23</v>
      </c>
      <c r="K19">
        <f t="shared" si="0"/>
        <v>2100</v>
      </c>
    </row>
    <row r="20" spans="1:11" x14ac:dyDescent="0.3">
      <c r="A20" s="4" t="s">
        <v>75</v>
      </c>
      <c r="B20" s="4" t="s">
        <v>76</v>
      </c>
      <c r="C20" s="2">
        <v>36</v>
      </c>
      <c r="D20" s="4" t="s">
        <v>12</v>
      </c>
      <c r="E20" s="4" t="s">
        <v>20</v>
      </c>
      <c r="F20" s="4" t="s">
        <v>77</v>
      </c>
      <c r="G20" s="4" t="s">
        <v>27</v>
      </c>
      <c r="H20" s="2">
        <v>2</v>
      </c>
      <c r="I20" s="2">
        <v>900</v>
      </c>
      <c r="J20" s="4" t="s">
        <v>16</v>
      </c>
      <c r="K20">
        <f t="shared" si="0"/>
        <v>1800</v>
      </c>
    </row>
    <row r="21" spans="1:11" x14ac:dyDescent="0.3">
      <c r="A21" s="4" t="s">
        <v>78</v>
      </c>
      <c r="B21" s="4" t="s">
        <v>79</v>
      </c>
      <c r="C21" s="2">
        <v>28</v>
      </c>
      <c r="D21" s="4" t="s">
        <v>19</v>
      </c>
      <c r="E21" s="4" t="s">
        <v>43</v>
      </c>
      <c r="F21" s="4" t="s">
        <v>80</v>
      </c>
      <c r="G21" s="4" t="s">
        <v>22</v>
      </c>
      <c r="H21" s="2">
        <v>1</v>
      </c>
      <c r="I21" s="2">
        <v>2500</v>
      </c>
      <c r="J21" s="4" t="s">
        <v>23</v>
      </c>
      <c r="K21">
        <f t="shared" si="0"/>
        <v>2500</v>
      </c>
    </row>
    <row r="22" spans="1:11" x14ac:dyDescent="0.3">
      <c r="A22" s="4" t="s">
        <v>81</v>
      </c>
      <c r="B22" s="4" t="s">
        <v>82</v>
      </c>
      <c r="C22" s="2">
        <v>25</v>
      </c>
      <c r="D22" s="4" t="s">
        <v>12</v>
      </c>
      <c r="E22" s="4" t="s">
        <v>36</v>
      </c>
      <c r="F22" s="4" t="s">
        <v>40</v>
      </c>
      <c r="G22" s="4" t="s">
        <v>27</v>
      </c>
      <c r="H22" s="2">
        <v>1</v>
      </c>
      <c r="I22" s="2">
        <v>1300</v>
      </c>
      <c r="J22" s="4" t="s">
        <v>28</v>
      </c>
      <c r="K22">
        <f t="shared" si="0"/>
        <v>1300</v>
      </c>
    </row>
    <row r="23" spans="1:11" x14ac:dyDescent="0.3">
      <c r="A23" s="4" t="s">
        <v>83</v>
      </c>
      <c r="B23" s="4" t="s">
        <v>84</v>
      </c>
      <c r="C23" s="2">
        <v>26</v>
      </c>
      <c r="D23" s="4" t="s">
        <v>19</v>
      </c>
      <c r="E23" s="4" t="s">
        <v>13</v>
      </c>
      <c r="F23" s="4" t="s">
        <v>47</v>
      </c>
      <c r="G23" s="4" t="s">
        <v>15</v>
      </c>
      <c r="H23" s="2">
        <v>2</v>
      </c>
      <c r="I23" s="2">
        <v>1700</v>
      </c>
      <c r="J23" s="4" t="s">
        <v>16</v>
      </c>
      <c r="K23">
        <f t="shared" si="0"/>
        <v>3400</v>
      </c>
    </row>
    <row r="24" spans="1:11" x14ac:dyDescent="0.3">
      <c r="A24" s="4" t="s">
        <v>85</v>
      </c>
      <c r="B24" s="4" t="s">
        <v>86</v>
      </c>
      <c r="C24" s="2">
        <v>34</v>
      </c>
      <c r="D24" s="4" t="s">
        <v>12</v>
      </c>
      <c r="E24" s="4" t="s">
        <v>31</v>
      </c>
      <c r="F24" s="4" t="s">
        <v>21</v>
      </c>
      <c r="G24" s="4" t="s">
        <v>22</v>
      </c>
      <c r="H24" s="2">
        <v>1</v>
      </c>
      <c r="I24" s="2">
        <v>1800</v>
      </c>
      <c r="J24" s="4" t="s">
        <v>23</v>
      </c>
      <c r="K24">
        <f t="shared" si="0"/>
        <v>1800</v>
      </c>
    </row>
    <row r="25" spans="1:11" x14ac:dyDescent="0.3">
      <c r="A25" s="4" t="s">
        <v>87</v>
      </c>
      <c r="B25" s="4" t="s">
        <v>88</v>
      </c>
      <c r="C25" s="2">
        <v>31</v>
      </c>
      <c r="D25" s="4" t="s">
        <v>19</v>
      </c>
      <c r="E25" s="4" t="s">
        <v>20</v>
      </c>
      <c r="F25" s="4" t="s">
        <v>57</v>
      </c>
      <c r="G25" s="4" t="s">
        <v>27</v>
      </c>
      <c r="H25" s="2">
        <v>2</v>
      </c>
      <c r="I25" s="2">
        <v>1200</v>
      </c>
      <c r="J25" s="4" t="s">
        <v>16</v>
      </c>
      <c r="K25">
        <f t="shared" si="0"/>
        <v>2400</v>
      </c>
    </row>
    <row r="26" spans="1:11" x14ac:dyDescent="0.3">
      <c r="A26" s="4" t="s">
        <v>89</v>
      </c>
      <c r="B26" s="4" t="s">
        <v>90</v>
      </c>
      <c r="C26" s="2">
        <v>27</v>
      </c>
      <c r="D26" s="4" t="s">
        <v>12</v>
      </c>
      <c r="E26" s="4" t="s">
        <v>13</v>
      </c>
      <c r="F26" s="4" t="s">
        <v>60</v>
      </c>
      <c r="G26" s="4" t="s">
        <v>15</v>
      </c>
      <c r="H26" s="2">
        <v>1</v>
      </c>
      <c r="I26" s="2">
        <v>1400</v>
      </c>
      <c r="J26" s="4" t="s">
        <v>28</v>
      </c>
      <c r="K26">
        <f t="shared" si="0"/>
        <v>1400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B02F-C874-4CD3-97AF-8363AFB23B33}">
  <dimension ref="A1"/>
  <sheetViews>
    <sheetView showGridLines="0" tabSelected="1" zoomScale="8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Kunal Mane</cp:lastModifiedBy>
  <dcterms:created xsi:type="dcterms:W3CDTF">2026-08-10T08:21:56Z</dcterms:created>
  <dcterms:modified xsi:type="dcterms:W3CDTF">2026-09-06T17:41:08Z</dcterms:modified>
</cp:coreProperties>
</file>